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6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8" hidden="0" customWidth="1"/>
    <col min="2" max="2" width="14" hidden="0" customWidth="1"/>
    <col min="3" max="3" width="16" hidden="0" customWidth="1"/>
    <col min="4" max="4" width="16" hidden="0" customWidth="1"/>
    <col min="5" max="5" width="18" hidden="0" customWidth="1"/>
    <col min="6" max="6" width="16" hidden="0" customWidth="1"/>
    <col min="7" max="7" width="16" hidden="0" customWidth="1"/>
    <col min="8" max="8" width="20" hidden="0" customWidth="1"/>
  </cols>
  <sheetData>
    <row r="1">
      <c r="A1" s="18" t="str">
        <v>Backlog de Implementación — PMS Hotel Boutique</v>
      </c>
      <c r="B1" s="18"/>
      <c r="C1" s="18"/>
      <c r="D1" s="18"/>
      <c r="E1" s="18"/>
      <c r="F1" s="18"/>
      <c r="G1" s="18"/>
      <c r="H1" s="18"/>
    </row>
    <row r="2">
      <c r="A2" s="18"/>
      <c r="B2" s="18"/>
      <c r="C2" s="18"/>
      <c r="D2" s="18"/>
      <c r="E2" s="18"/>
      <c r="F2" s="18"/>
      <c r="G2" s="18"/>
      <c r="H2" s="18"/>
    </row>
    <row r="3" ht="34" customHeight="1">
      <c r="A3" s="26" t="str">
        <v>Fuente oficial de trabajo para WEB-1..4 y ANDROID-1. Archivo canónico: docs/Backlog_Implementacion_PMS_V1.xlsx. No avanzar una tarea dependiente hasta que sus dependencias estén COMPLETADAS y el DoD haya pasado QA.</v>
      </c>
      <c r="B3" s="26"/>
      <c r="C3" s="26"/>
      <c r="D3" s="26"/>
      <c r="E3" s="26"/>
      <c r="F3" s="26"/>
      <c r="G3" s="26"/>
      <c r="H3" s="26"/>
    </row>
    <row r="5">
      <c r="A5" s="34" t="str">
        <v>Total tareas</v>
      </c>
      <c r="B5" s="34" t="str">
        <v>READY</v>
      </c>
      <c r="C5" s="34" t="str">
        <v>En progreso</v>
      </c>
      <c r="D5" s="34" t="str">
        <v>En QA</v>
      </c>
      <c r="E5" s="34" t="str">
        <v>Bloqueadas</v>
      </c>
      <c r="F5" s="34" t="str">
        <v>Completadas</v>
      </c>
    </row>
    <row r="6" ht="32" customHeight="1">
      <c r="A6" s="41" t="n">
        <f>COUNTA('01_Backlog'!A2:A156)</f>
        <v>155</v>
      </c>
      <c r="B6" s="41" t="n">
        <f>COUNTIF('01_Backlog'!J2:J156,"READY")</f>
        <v>0</v>
      </c>
      <c r="C6" s="41" t="n">
        <f>COUNTIF('01_Backlog'!J2:J156,"EN_PROGRESO")</f>
        <v>0</v>
      </c>
      <c r="D6" s="41" t="n">
        <f>COUNTIF('01_Backlog'!J2:J156,"EN_QA")</f>
        <v>1</v>
      </c>
      <c r="E6" s="41" t="n">
        <f>COUNTIF('01_Backlog'!J2:J156,"BLOQUEADA")</f>
        <v>0</v>
      </c>
      <c r="F6" s="41" t="n">
        <f>COUNTIF('01_Backlog'!J2:J156,"COMPLETADA")</f>
        <v>46</v>
      </c>
    </row>
    <row r="9">
      <c r="A9" s="6" t="str">
        <v>Owner</v>
      </c>
      <c r="B9" s="6" t="str">
        <v>Total asignadas</v>
      </c>
      <c r="C9" s="6" t="str">
        <v>Estado inicial READY</v>
      </c>
      <c r="E9" s="6" t="str">
        <v>Aplicación</v>
      </c>
      <c r="F9" s="6" t="str">
        <v>Total</v>
      </c>
      <c r="G9" s="6" t="str">
        <v>Completadas</v>
      </c>
    </row>
    <row r="10" ht="24" customHeight="1">
      <c r="A10" s="12" t="str">
        <v>WEB-1</v>
      </c>
      <c r="B10" s="12" t="n">
        <f>COUNTIF('01_Backlog'!E2:E156,A10)</f>
        <v>17</v>
      </c>
      <c r="C10" s="12" t="n">
        <f>COUNTIFS('01_Backlog'!E2:E156,A10,'01_Backlog'!J2:J156,"READY")</f>
        <v>0</v>
      </c>
      <c r="E10" t="str">
        <v>WEB</v>
      </c>
      <c r="F10" t="n">
        <f>COUNTIF('01_Backlog'!C2:C156,E10)</f>
        <v>114</v>
      </c>
      <c r="G10" t="n">
        <f>COUNTIFS('01_Backlog'!C2:C156,E10,'01_Backlog'!J2:J156,"COMPLETADA")</f>
        <v>17</v>
      </c>
    </row>
    <row r="11" ht="24" customHeight="1">
      <c r="A11" s="12" t="str">
        <v>WEB-2</v>
      </c>
      <c r="B11" s="12" t="n">
        <f>COUNTIF('01_Backlog'!E2:E156,A11)</f>
        <v>26</v>
      </c>
      <c r="C11" s="12" t="n">
        <f>COUNTIFS('01_Backlog'!E2:E156,A11,'01_Backlog'!J2:J156,"READY")</f>
        <v>0</v>
      </c>
      <c r="E11" t="str">
        <v>ANDROID</v>
      </c>
      <c r="F11" t="n">
        <f>COUNTIF('01_Backlog'!C2:C156,E11)</f>
        <v>41</v>
      </c>
      <c r="G11" t="n">
        <f>COUNTIFS('01_Backlog'!C2:C156,E11,'01_Backlog'!J2:J156,"COMPLETADA")</f>
        <v>29</v>
      </c>
    </row>
    <row r="12" ht="24" customHeight="1">
      <c r="A12" s="12" t="str">
        <v>WEB-3</v>
      </c>
      <c r="B12" s="12" t="n">
        <f>COUNTIF('01_Backlog'!E2:E156,A12)</f>
        <v>45</v>
      </c>
      <c r="C12" s="12" t="n">
        <f>COUNTIFS('01_Backlog'!E2:E156,A12,'01_Backlog'!J2:J156,"READY")</f>
        <v>0</v>
      </c>
    </row>
    <row r="13" ht="24" customHeight="1">
      <c r="A13" s="12" t="str">
        <v>WEB-4</v>
      </c>
      <c r="B13" s="12" t="n">
        <f>COUNTIF('01_Backlog'!E2:E156,A13)</f>
        <v>26</v>
      </c>
      <c r="C13" s="12" t="n">
        <f>COUNTIFS('01_Backlog'!E2:E156,A13,'01_Backlog'!J2:J156,"READY")</f>
        <v>0</v>
      </c>
    </row>
    <row r="14" ht="24" customHeight="1">
      <c r="A14" s="12" t="str">
        <v>ANDROID-1</v>
      </c>
      <c r="B14" s="12" t="n">
        <f>COUNTIF('01_Backlog'!E2:E156,A14)</f>
        <v>41</v>
      </c>
      <c r="C14" s="12" t="n">
        <f>COUNTIFS('01_Backlog'!E2:E156,A14,'01_Backlog'!J2:J156,"READY")</f>
        <v>0</v>
      </c>
    </row>
    <row r="17">
      <c r="A17" s="6" t="str">
        <v>Flujo obligatorio</v>
      </c>
      <c r="B17" s="6"/>
      <c r="C17" s="6"/>
      <c r="D17" s="6"/>
      <c r="E17" s="6"/>
      <c r="F17" s="6"/>
      <c r="G17" s="6"/>
      <c r="H17" s="6"/>
    </row>
    <row r="18" ht="28" customHeight="1">
      <c r="A18" s="60" t="str">
        <v>PENDIENTE</v>
      </c>
      <c r="B18" s="60" t="str">
        <v>→</v>
      </c>
      <c r="C18" s="60" t="str">
        <v>READY</v>
      </c>
      <c r="D18" s="60" t="str">
        <v>→</v>
      </c>
      <c r="E18" s="48"/>
      <c r="F18" s="48"/>
      <c r="G18" s="48"/>
      <c r="H18" s="48"/>
    </row>
    <row r="19" ht="28" customHeight="1">
      <c r="A19" s="60" t="str">
        <v>EN_PROGRESO</v>
      </c>
      <c r="B19" s="60" t="str">
        <v>→</v>
      </c>
      <c r="C19" s="60" t="str">
        <v>EN_QA</v>
      </c>
      <c r="D19" s="60" t="str">
        <v>→ COMPLETADA</v>
      </c>
      <c r="E19" s="48"/>
      <c r="F19" s="48"/>
      <c r="G19" s="48"/>
      <c r="H19" s="48"/>
    </row>
    <row r="20" ht="28" customHeight="1">
      <c r="A20" s="60" t="str">
        <v>Si QA falla</v>
      </c>
      <c r="B20" s="60" t="str">
        <v>→</v>
      </c>
      <c r="C20" s="60" t="str">
        <v>EN_PROGRESO</v>
      </c>
      <c r="D20" s="60" t="str">
        <v>corregir y re-QA</v>
      </c>
      <c r="E20" s="48"/>
      <c r="F20" s="48"/>
      <c r="G20" s="48"/>
      <c r="H20" s="48"/>
    </row>
    <row r="22">
      <c r="A22" s="55" t="str">
        <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v>
      </c>
      <c r="B22" s="55"/>
      <c r="C22" s="55"/>
      <c r="D22" s="55"/>
      <c r="E22" s="55"/>
      <c r="F22" s="55"/>
      <c r="G22" s="55"/>
      <c r="H22" s="55"/>
    </row>
    <row r="23">
      <c r="A23" s="55"/>
      <c r="B23" s="55"/>
      <c r="C23" s="55"/>
      <c r="D23" s="55"/>
      <c r="E23" s="55"/>
      <c r="F23" s="55"/>
      <c r="G23" s="55"/>
      <c r="H23" s="55"/>
    </row>
    <row r="24">
      <c r="A24" s="55"/>
      <c r="B24" s="55"/>
      <c r="C24" s="55"/>
      <c r="D24" s="55"/>
      <c r="E24" s="55"/>
      <c r="F24" s="55"/>
      <c r="G24" s="55"/>
      <c r="H24" s="55"/>
    </row>
    <row r="25">
      <c r="A25" s="55"/>
      <c r="B25" s="55"/>
      <c r="C25" s="55"/>
      <c r="D25" s="55"/>
      <c r="E25" s="55"/>
      <c r="F25" s="55"/>
      <c r="G25" s="55"/>
      <c r="H25" s="55"/>
    </row>
  </sheetData>
  <mergeCells>
    <mergeCell ref="A1:H2"/>
    <mergeCell ref="A3:H3"/>
    <mergeCell ref="A22:H25"/>
    <mergeCell ref="A17:D17"/>
  </mergeCells>
  <pageMargins left="0.7" right="0.7" top="0.75" bottom="0.75" header="0.3" footer="0.3"/>
  <drawing ns1:id="R43a7b7f5a2c24540"/>
</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 IMP-AND-0501–0503 forman parte del prerequisito de foundation/contexto; fuente visual, confirmación e invalidación formal siguen pendientes.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COMPLETADA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QA automática PASS: lint, typecheck, 28 suites / 242 tests, Expo Doctor 21/21, export Android y Metro. Manual QA PASS; WEB-2 PASS. Change Control 31/32 aplicado: Perfil primera acción del drawer y confirmación dirty con Profile visible.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EN_QA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QA-AND-0304-01 y QA-AND-0304-02 corregidos y regresiones automáticas PASS; EN_QA pendiente de revalidación manual física.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EN_QA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 s="14" t="str">
        <v>UniversalState shared implementado; QA automática PASS (tests, typecheck, lint, diff-check, Doctor y export). Pendiente revisión manual y WEB-2.</v>
      </c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  <row r="153">
      <c r="A153" t="str">
        <v>IMP-AND-0501</v>
      </c>
      <c r="B153" t="str">
        <v>S5 Android Guest Auth</v>
      </c>
      <c r="C153" t="str">
        <v>ANDROID</v>
      </c>
      <c r="D153" t="str">
        <v>Auth / Context</v>
      </c>
      <c r="E153" t="str">
        <v>ANDROID-1</v>
      </c>
      <c r="F153" t="str">
        <v>WEB-2</v>
      </c>
      <c r="G153" t="str">
        <v>guest-auth</v>
      </c>
      <c r="H153" t="str">
        <v>FEATURE</v>
      </c>
      <c r="I153" t="str">
        <v>CRÍTICA</v>
      </c>
      <c r="J153" t="str">
        <v>COMPLETADA</v>
      </c>
      <c r="K153" t="str">
        <v>IMP-AND-0108, IMP-AND-0109, IMP-AND-0201</v>
      </c>
      <c r="L153" t="str">
        <v>Android Guest Auth frontend-first</v>
      </c>
      <c r="M153" t="str">
        <v>N/A</v>
      </c>
      <c r="N153" t="str">
        <v>N/A</v>
      </c>
      <c r="O153" t="str">
        <v>Guest Auth + Reservation Context foundation</v>
      </c>
      <c r="P153" t="str">
        <v>Crear contracts domain, DTO/mapper de selección, interfaces, mocks sustituibles, providers session-only y resolver puro; sin UI ni rutas.</v>
      </c>
      <c r="Q153" t="str">
        <v>GuestAuthSession, GuestAccount canónico, LinkedReservations y ActiveReservationContext quedan separados; 0 token/password persistido; 0 rutas nuevas.</v>
      </c>
      <c r="R153" t="str">
        <v>Dependencias completadas; Change Control 32 y contrato 33 aprobados; autoridad frontend-first registrada.</v>
      </c>
      <c r="S153" t="str">
        <v>Tests unitarios, typecheck, lint y diff-check PASS; no DTO en UI ni persistencia.</v>
      </c>
      <c r="T153" t="str">
        <v>unit</v>
      </c>
      <c r="U153" t="str">
        <v>src/modules/guest-auth/*; tests/guest-auth-foundation.test.tsx; docs 01/04/24/25/32/33</v>
      </c>
      <c r="V153" t="str">
        <v>feature/android-guest-auth-foundation</v>
      </c>
      <c r="W153" t="str">
        <v>COMPLETADA: foundation mergeada; contracts, mocks, providers session-only y tests aprobados como autoridad para 0502.</v>
      </c>
      <c r="X153" t="str">
        <v>2026-09-25</v>
      </c>
      <c r="Y153" t="str">
        <v>2026-09-25</v>
      </c>
      <c r="Z153" t="str">
        <v>No Backend, HTTP real, tokens, AsyncStorage, SecureStore, Login UI, selector ni cambio de rutas.</v>
      </c>
    </row>
    <row r="154">
      <c r="A154" t="str">
        <v>IMP-AND-0502</v>
      </c>
      <c r="B154" t="str">
        <v>S5 Android Guest Auth</v>
      </c>
      <c r="C154" t="str">
        <v>ANDROID</v>
      </c>
      <c r="D154" t="str">
        <v>Auth</v>
      </c>
      <c r="E154" t="str">
        <v>ANDROID-1</v>
      </c>
      <c r="F154" t="str">
        <v>WEB-2</v>
      </c>
      <c r="G154" t="str">
        <v>guest-auth</v>
      </c>
      <c r="H154" t="str">
        <v>FEATURE</v>
      </c>
      <c r="I154" t="str">
        <v>CRÍTICA</v>
      </c>
      <c r="J154" t="str">
        <v>EN_QA</v>
      </c>
      <c r="K154" t="str">
        <v>IMP-AND-0501</v>
      </c>
      <c r="L154" t="str">
        <v>Frontend-first approved — Guest Login</v>
      </c>
      <c r="M154" t="str">
        <v>N/A</v>
      </c>
      <c r="N154" t="str">
        <v>/login</v>
      </c>
      <c r="O154" t="str">
        <v>Guest Login</v>
      </c>
      <c r="P154" t="str">
        <v>Implementar email+password, validación local, mutation y estados Base/validación/submitting/rejected/error/offline; acción secundaria a Access.</v>
      </c>
      <c r="Q154" t="str">
        <v>Login fuera de shell; copy genérico para credenciales; accesibilidad; no registro, recovery, social ni biometría.</v>
      </c>
      <c r="R154" t="str">
        <v>IMP-AND-0501 COMPLETADA; contrato y autoridad visual frontend-first vigentes.</v>
      </c>
      <c r="S154" t="str">
        <v>UI/tests/a11y PASS; sin persistir password ni tokens; rutas existentes no se rompen.</v>
      </c>
      <c r="T154" t="str">
        <v>unit/ui</v>
      </c>
      <c r="U154" t="str">
        <v>src/modules/guest-auth/*; app/login.tsx; tests/guest-login.test.tsx</v>
      </c>
      <c r="V154" t="str">
        <v>feature/android-guest-login</v>
      </c>
      <c r="W154" t="str">
        <v>EN_QA: guest-login/access/foundation focal PASS; suite completa PASS; typecheck, lint, diff-check, Expo Doctor 21/21 y Android export PASS. QA manual pendiente.</v>
      </c>
      <c r="X154" t="str">
        <v>2026-09-25</v>
      </c>
      <c r="Y154" t="str">
        <v/>
      </c>
      <c r="Z154" t="str">
        <v>No Backend/auth real ni selección implícita de reserva.</v>
      </c>
    </row>
    <row r="155">
      <c r="A155" t="str">
        <v>IMP-AND-0503</v>
      </c>
      <c r="B155" t="str">
        <v>S5 Android Guest Auth</v>
      </c>
      <c r="C155" t="str">
        <v>ANDROID</v>
      </c>
      <c r="D155" t="str">
        <v>Reservations / Context</v>
      </c>
      <c r="E155" t="str">
        <v>ANDROID-1</v>
      </c>
      <c r="F155" t="str">
        <v>WEB-2</v>
      </c>
      <c r="G155" t="str">
        <v>guest-auth, stay</v>
      </c>
      <c r="H155" t="str">
        <v>FEATURE</v>
      </c>
      <c r="I155" t="str">
        <v>CRÍTICA</v>
      </c>
      <c r="J155" t="str">
        <v>PENDIENTE</v>
      </c>
      <c r="K155" t="str">
        <v>IMP-AND-0501, IMP-AND-0502</v>
      </c>
      <c r="L155" t="str">
        <v>Frontend-first approved — Linked Reservations + Active Context</v>
      </c>
      <c r="M155" t="str">
        <v>N/A</v>
      </c>
      <c r="N155" t="str">
        <v>/reservations</v>
      </c>
      <c r="O155" t="str">
        <v>Linked Reservations + Active Context</v>
      </c>
      <c r="P155" t="str">
        <v>Implementar listado/selector, resolución 0/1/múltiples, guards y migración context-aware de Stay; invalidar solo datos reservation-scoped aprobados.</v>
      </c>
      <c r="Q155" t="str">
        <v>Sin selección implícita; Empty CTA a Access; una reserva auto-contextualiza; múltiples requieren selección; Account/Profile/Rewards no se invalidan; Promotions/Chat sin cambios.</v>
      </c>
      <c r="R155" t="str">
        <v>0501 y 0502 COMPLETADAS; estrategia de cache/guards y tests aprobados.</v>
      </c>
      <c r="S155" t="str">
        <v>UI/tests/navigation/cache isolation PASS; sin tocar Access como Login ni reasignar Promotions/Chat.</v>
      </c>
      <c r="T155" t="str">
        <v>unit/ui/navigation</v>
      </c>
      <c r="U155" t="str">
        <v>src/modules/guest-auth/*; app/reservations.tsx; stay hooks; tests/guest-reservation-context.test.tsx</v>
      </c>
      <c r="V155" t="str">
        <v>feature/android-linked-reservations-context</v>
      </c>
      <c r="W155" t="str">
        <v>PENDIENTE: prerequisito parcial de IMP-AND-0116.</v>
      </c>
      <c r="X155" t="str">
        <v/>
      </c>
      <c r="Y155" t="str">
        <v/>
      </c>
      <c r="Z155" t="str">
        <v>No Backend, HTTP real, persistencia ni contexto de ReservationStay copiado.</v>
      </c>
    </row>
    <row r="156">
      <c r="A156" t="str">
        <v>IMP-AND-0504</v>
      </c>
      <c r="B156" t="str">
        <v>S5 Android Guest Auth</v>
      </c>
      <c r="C156" t="str">
        <v>ANDROID</v>
      </c>
      <c r="D156" t="str">
        <v>QA</v>
      </c>
      <c r="E156" t="str">
        <v>ANDROID-1</v>
      </c>
      <c r="F156" t="str">
        <v>WEB-2</v>
      </c>
      <c r="G156" t="str">
        <v>guest-auth</v>
      </c>
      <c r="H156" t="str">
        <v>QA</v>
      </c>
      <c r="I156" t="str">
        <v>CRÍTICA</v>
      </c>
      <c r="J156" t="str">
        <v>PENDIENTE</v>
      </c>
      <c r="K156" t="str">
        <v>IMP-AND-0502, IMP-AND-0503</v>
      </c>
      <c r="L156" t="str">
        <v>Android Guest Auth / Active Reservation journey</v>
      </c>
      <c r="M156" t="str">
        <v>N/A</v>
      </c>
      <c r="N156" t="str">
        <v>/login → /reservations → /account</v>
      </c>
      <c r="O156" t="str">
        <v>QA Guest Auth / Active Reservation journey</v>
      </c>
      <c r="P156" t="str">
        <v>Validar Login, 0/1/múltiples reservas, Access separado, guards, cold start e aislamiento de datos por contexto.</v>
      </c>
      <c r="Q156" t="str">
        <v>Journey completo PASS; Guest/Staff separados; sin password logs/persistencia; no selección implícita.</v>
      </c>
      <c r="R156" t="str">
        <v>0502 y 0503 COMPLETADAS.</v>
      </c>
      <c r="S156" t="str">
        <v>Global DoD Android, regresión y QA manual PASS.</v>
      </c>
      <c r="T156" t="str">
        <v>build/tests/manual</v>
      </c>
      <c r="U156" t="str">
        <v>Android S5; tests guest auth/context</v>
      </c>
      <c r="V156" t="str">
        <v>test/android-guest-auth-context</v>
      </c>
      <c r="W156" t="str">
        <v>PENDIENTE: no iniciar antes de 0502 y 0503 COMPLETADAS.</v>
      </c>
      <c r="X156" t="str">
        <v/>
      </c>
      <c r="Y156" t="str">
        <v/>
      </c>
      <c r="Z156" t="str">
        <v>Después de 0504 continúa IMP-AND-0116 y Android Release.</v>
      </c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