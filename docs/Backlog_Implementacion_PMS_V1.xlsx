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88ad5d743b642c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Dashboard" sheetId="1" r:id="R246fac9b78de4818"/>
    <x:sheet xmlns:r="http://schemas.openxmlformats.org/officeDocument/2006/relationships" name="01_Backlog" sheetId="2" r:id="R32e8fad96ebc4b84"/>
    <x:sheet xmlns:r="http://schemas.openxmlformats.org/officeDocument/2006/relationships" name="02_Owners" sheetId="3" r:id="R6f65648b768b4706"/>
    <x:sheet xmlns:r="http://schemas.openxmlformats.org/officeDocument/2006/relationships" name="03_Workflow_DoR_DoD" sheetId="4" r:id="R5e27f06704cc4f6f"/>
    <x:sheet xmlns:r="http://schemas.openxmlformats.org/officeDocument/2006/relationships" name="04_Figma_Map" sheetId="5" r:id="R0ef9b7cc7d944865"/>
    <x:sheet xmlns:r="http://schemas.openxmlformats.org/officeDocument/2006/relationships" name="05_Consistency_Audit" sheetId="6" r:id="Raa397d2820064bc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0"/>
      <x:color rgb="FFFFFFFF"/>
      <x:name val="Carlito"/>
    </x:font>
    <x:font>
      <x:b/>
      <x:sz val="18"/>
      <x:color rgb="FFFFFFFF"/>
      <x:name val="Carlito"/>
    </x:font>
    <x:font>
      <x:i/>
      <x:sz val="11"/>
      <x:color rgb="FF343934"/>
      <x:name val="Carlito"/>
    </x:font>
    <x:font>
      <x:b/>
      <x:sz val="11"/>
      <x:color rgb="FFFFFFFF"/>
      <x:name val="Carlito"/>
    </x:font>
    <x:font>
      <x:b/>
      <x:sz val="16"/>
      <x:color rgb="FF252925"/>
      <x:name val="Carlito"/>
    </x:font>
    <x:font>
      <x:b/>
      <x:sz val="11"/>
      <x:color rgb="FF343934"/>
      <x:name val="Carlito"/>
    </x:font>
    <x:font>
      <x:sz val="11"/>
      <x:color rgb="FF343934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28302B"/>
      </x:patternFill>
    </x:fill>
    <x:fill>
      <x:patternFill patternType="solid">
        <x:fgColor rgb="FFEDF1EA"/>
      </x:patternFill>
    </x:fill>
    <x:fill>
      <x:patternFill patternType="solid">
        <x:fgColor rgb="FF7C8B78"/>
      </x:patternFill>
    </x:fill>
    <x:fill>
      <x:patternFill patternType="solid">
        <x:fgColor rgb="FFF8F7F3"/>
      </x:patternFill>
    </x:fill>
    <x:fill>
      <x:patternFill patternType="solid">
        <x:fgColor rgb="FFF1F0EC"/>
      </x:patternFill>
    </x:fill>
    <x:fill>
      <x:patternFill patternType="solid">
        <x:fgColor rgb="FF28302B"/>
      </x:patternFill>
    </x:fill>
  </x:fills>
  <x:borders count="2">
    <x:border/>
    <x:border/>
  </x:borders>
  <x:cellStyleXfs count="1">
    <x:xf numFmtId="0" fontId="0" fillId="0" borderId="0"/>
  </x:cellStyleXfs>
  <x:cellXfs count="6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horizontal="center"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horizontal="center" wrapText="1"/>
    </x:xf>
    <x:xf numFmtId="0" fontId="3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horizontal="center"/>
    </x:xf>
    <x:xf numFmtId="0" fontId="5" fillId="5" borderId="0" xfId="0" applyNumberFormat="1" applyFont="1" applyFill="1" applyBorder="1" applyAlignment="1">
      <x:alignment horizontal="center" vertical="center"/>
    </x:xf>
    <x:xf numFmtId="0" fontId="0" fillId="5" borderId="1" xfId="0" applyNumberFormat="1" applyFont="1" applyFill="1" applyBorder="1"/>
    <x:xf numFmtId="0" fontId="5" fillId="5" borderId="1" xfId="0" applyNumberFormat="1" applyFont="1" applyFill="1" applyBorder="1"/>
    <x:xf numFmtId="0" fontId="5" fillId="5" borderId="1" xfId="0" applyNumberFormat="1" applyFont="1" applyFill="1" applyBorder="1" applyAlignment="1">
      <x:alignment horizontal="center"/>
    </x:xf>
    <x:xf numFmtId="0" fontId="5" fillId="5" borderId="1" xfId="0" applyNumberFormat="1" applyFont="1" applyFill="1" applyBorder="1" applyAlignment="1">
      <x:alignment horizontal="center" vertical="center"/>
    </x:xf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horizontal="center"/>
    </x:xf>
    <x:xf numFmtId="0" fontId="6" fillId="5" borderId="0" xfId="0" applyNumberFormat="1" applyFont="1" applyFill="1" applyBorder="1" applyAlignment="1">
      <x:alignment horizontal="center" vertical="center"/>
    </x:xf>
    <x:xf numFmtId="0" fontId="6" fillId="5" borderId="1" xfId="0" applyNumberFormat="1" applyFont="1" applyFill="1" applyBorder="1"/>
    <x:xf numFmtId="0" fontId="6" fillId="5" borderId="1" xfId="0" applyNumberFormat="1" applyFont="1" applyFill="1" applyBorder="1" applyAlignment="1">
      <x:alignment horizontal="center"/>
    </x:xf>
    <x:xf numFmtId="0" fontId="6" fillId="5" borderId="1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7" fillId="6" borderId="0" xfId="0" applyNumberFormat="1" applyFont="1" applyFill="1" applyBorder="1" applyAlignment="1">
      <x:alignment wrapText="1"/>
    </x:xf>
    <x:xf numFmtId="0" fontId="7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7" fillId="6" borderId="1" xfId="0" applyNumberFormat="1" applyFont="1" applyFill="1" applyBorder="1"/>
    <x:xf numFmtId="0" fontId="7" fillId="6" borderId="1" xfId="0" applyNumberFormat="1" applyFont="1" applyFill="1" applyBorder="1" applyAlignment="1">
      <x:alignment wrapText="1"/>
    </x:xf>
    <x:xf numFmtId="0" fontId="7" fillId="6" borderId="1" xfId="0" applyNumberFormat="1" applyFont="1" applyFill="1" applyBorder="1" applyAlignment="1">
      <x:alignment vertical="top" wrapText="1"/>
    </x:xf>
    <x:xf numFmtId="0" fontId="6" fillId="5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7" borderId="0" xfId="0" applyNumberFormat="1" applyFont="1" applyFill="1" applyBorder="1"/>
    <x:xf numFmtId="0" fontId="4" fillId="7" borderId="0" xfId="0" applyNumberFormat="1" applyFont="1" applyFill="1" applyBorder="1"/>
    <x:xf numFmtId="0" fontId="4" fillId="7" borderId="0" xfId="0" applyNumberFormat="1" applyFont="1" applyFill="1" applyBorder="1" applyAlignment="1">
      <x:alignment horizontal="center"/>
    </x:xf>
    <x:xf numFmtId="0" fontId="4" fillId="7" borderId="0" xfId="0" applyNumberFormat="1" applyFont="1" applyFill="1" applyBorder="1" applyAlignment="1">
      <x:alignment wrapText="1"/>
    </x:xf>
    <x:xf numFmtId="0" fontId="4" fillId="7" borderId="0" xfId="0" applyNumberFormat="1" applyFont="1" applyFill="1" applyBorder="1" applyAlignment="1">
      <x:alignment horizontal="center" wrapText="1"/>
    </x:xf>
    <x:xf numFmtId="0" fontId="4" fillId="7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8">
    <x:dxf>
      <x:font>
        <x:b/>
        <x:color rgb="FF55778F"/>
      </x:font>
      <x:fill>
        <x:patternFill>
          <x:bgColor rgb="FFE4EEF4"/>
        </x:patternFill>
      </x:fill>
    </x:dxf>
    <x:dxf>
      <x:font>
        <x:b/>
        <x:color rgb="FFA8732A"/>
      </x:font>
      <x:fill>
        <x:patternFill>
          <x:bgColor rgb="FFF7ECD8"/>
        </x:patternFill>
      </x:fill>
    </x:dxf>
    <x:dxf>
      <x:font>
        <x:b/>
        <x:color rgb="FF766B91"/>
      </x:font>
      <x:fill>
        <x:patternFill>
          <x:bgColor rgb="FFECE8F3"/>
        </x:patternFill>
      </x:fill>
    </x:dxf>
    <x:dxf>
      <x:font>
        <x:b/>
        <x:color rgb="FFA85454"/>
      </x:font>
      <x:fill>
        <x:patternFill>
          <x:bgColor rgb="FFF5E3E3"/>
        </x:patternFill>
      </x:fill>
    </x:dxf>
    <x:dxf>
      <x:font>
        <x:b/>
        <x:color rgb="FF4F7A63"/>
      </x:font>
      <x:fill>
        <x:patternFill>
          <x:bgColor rgb="FFE5F1E9"/>
        </x:patternFill>
      </x:fill>
    </x:dxf>
    <x:dxf>
      <x:font>
        <x:color rgb="FF6B716C"/>
      </x:font>
      <x:fill>
        <x:patternFill>
          <x:bgColor rgb="FFF1F0EC"/>
        </x:patternFill>
      </x:fill>
    </x:dxf>
    <x:dxf>
      <x:font>
        <x:b/>
        <x:color rgb="FFA85454"/>
      </x:font>
      <x:fill>
        <x:patternFill>
          <x:bgColor rgb="FFF5E3E3"/>
        </x:patternFill>
      </x:fill>
    </x:dxf>
    <x:dxf>
      <x:font>
        <x:b/>
        <x:color rgb="FFA8732A"/>
      </x:font>
      <x:fill>
        <x:patternFill>
          <x:bgColor rgb="FFF7ECD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736abc57d534b3c" /><Relationship Type="http://schemas.openxmlformats.org/officeDocument/2006/relationships/theme" Target="/xl/theme/theme1.xml" Id="Rf47b28269c074e6b" /><Relationship Type="http://schemas.openxmlformats.org/officeDocument/2006/relationships/sharedStrings" Target="/xl/sharedStrings.xml" Id="R431749e574d64e43" /><Relationship Type="http://schemas.openxmlformats.org/officeDocument/2006/relationships/worksheet" Target="/xl/worksheets/sheet1.xml" Id="R246fac9b78de4818" /><Relationship Type="http://schemas.openxmlformats.org/officeDocument/2006/relationships/worksheet" Target="/xl/worksheets/sheet2.xml" Id="R32e8fad96ebc4b84" /><Relationship Type="http://schemas.openxmlformats.org/officeDocument/2006/relationships/worksheet" Target="/xl/worksheets/sheet3.xml" Id="R6f65648b768b4706" /><Relationship Type="http://schemas.openxmlformats.org/officeDocument/2006/relationships/worksheet" Target="/xl/worksheets/sheet4.xml" Id="R5e27f06704cc4f6f" /><Relationship Type="http://schemas.openxmlformats.org/officeDocument/2006/relationships/worksheet" Target="/xl/worksheets/sheet5.xml" Id="R0ef9b7cc7d944865" /><Relationship Type="http://schemas.openxmlformats.org/officeDocument/2006/relationships/worksheet" Target="/xl/worksheets/sheet6.xml" Id="Raa397d2820064bc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0d8f403d18524e55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Tareas asignadas por owner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Total asignadas</c:v>
          </c:tx>
          <c:cat>
            <c:strRef>
              <c:f>'00_Dashboard'!$A$10:$A$14</c:f>
              <c:strCache>
                <c:ptCount val="0"/>
              </c:strCache>
            </c:strRef>
          </c:cat>
          <c:val>
            <c:numRef>
              <c:f>'00_Dashboard'!$B$10:$B$14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11</xdr:row>
      <xdr:rowOff>0</xdr:rowOff>
    </xdr:from>
    <xdr:to>
      <xdr:col>8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d8f403d18524e55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ImplementationBacklog" displayName="ImplementationBacklog" ref="A1:Z142" headerRowCount="1" totalsRowCount="0" totalsRowShown="0">
  <x:tableColumns count="26">
    <x:tableColumn id="1" name="ID"/>
    <x:tableColumn id="2" name="Sprint"/>
    <x:tableColumn id="3" name="App"/>
    <x:tableColumn id="4" name="Área"/>
    <x:tableColumn id="5" name="Owner"/>
    <x:tableColumn id="6" name="Reviewer"/>
    <x:tableColumn id="7" name="Módulo"/>
    <x:tableColumn id="8" name="Tipo"/>
    <x:tableColumn id="9" name="Prioridad"/>
    <x:tableColumn id="10" name="Estado"/>
    <x:tableColumn id="11" name="Dependencias"/>
    <x:tableColumn id="12" name="Figma / Fuente"/>
    <x:tableColumn id="13" name="Node ID"/>
    <x:tableColumn id="14" name="Ruta"/>
    <x:tableColumn id="15" name="Tarea"/>
    <x:tableColumn id="16" name="Pasos obligatorios"/>
    <x:tableColumn id="17" name="Criterios de aceptación"/>
    <x:tableColumn id="18" name="Definition of Ready específica"/>
    <x:tableColumn id="19" name="DoD específico de tarea"/>
    <x:tableColumn id="20" name="Pruebas obligatorias"/>
    <x:tableColumn id="21" name="Archivos / carpetas esperadas"/>
    <x:tableColumn id="22" name="Rama sugerida"/>
    <x:tableColumn id="23" name="PR / Evidencia"/>
    <x:tableColumn id="24" name="Fecha inicio"/>
    <x:tableColumn id="25" name="Fecha fin"/>
    <x:tableColumn id="26" name="Observacion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0a04b1be9a59490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4618bc73524441b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4" hidden="0" customWidth="1"/>
    <x:col min="3" max="3" width="16" hidden="0" customWidth="1"/>
    <x:col min="4" max="4" width="16" hidden="0" customWidth="1"/>
    <x:col min="5" max="5" width="18" hidden="0" customWidth="1"/>
    <x:col min="6" max="6" width="16" hidden="0" customWidth="1"/>
    <x:col min="7" max="7" width="16" hidden="0" customWidth="1"/>
    <x:col min="8" max="8" width="20" hidden="0" customWidth="1"/>
  </x:cols>
  <x:sheetData>
    <x:row r="1">
      <x:c r="A1" s="18" t="str">
        <x:v>Backlog de Implementación — PMS Hotel Boutique</x:v>
      </x:c>
      <x:c r="B1" s="18"/>
      <x:c r="C1" s="18"/>
      <x:c r="D1" s="18"/>
      <x:c r="E1" s="18"/>
      <x:c r="F1" s="18"/>
      <x:c r="G1" s="18"/>
      <x:c r="H1" s="18"/>
    </x:row>
    <x:row r="2">
      <x:c r="A2" s="18"/>
      <x:c r="B2" s="18"/>
      <x:c r="C2" s="18"/>
      <x:c r="D2" s="18"/>
      <x:c r="E2" s="18"/>
      <x:c r="F2" s="18"/>
      <x:c r="G2" s="18"/>
      <x:c r="H2" s="18"/>
    </x:row>
    <x:row r="3" ht="34" customHeight="1">
      <x:c r="A3" s="26" t="str">
        <x:v>Fuente oficial de trabajo para WEB-1..4 y ANDROID-1. Archivo canónico: docs/Backlog_Implementacion_PMS_V1.xlsx. No avanzar una tarea dependiente hasta que sus dependencias estén COMPLETADAS y el DoD haya pasado QA.</x:v>
      </x:c>
      <x:c r="B3" s="26"/>
      <x:c r="C3" s="26"/>
      <x:c r="D3" s="26"/>
      <x:c r="E3" s="26"/>
      <x:c r="F3" s="26"/>
      <x:c r="G3" s="26"/>
      <x:c r="H3" s="26"/>
    </x:row>
    <x:row r="5">
      <x:c r="A5" s="34" t="str">
        <x:v>Total tareas</x:v>
      </x:c>
      <x:c r="B5" s="34" t="str">
        <x:v>READY</x:v>
      </x:c>
      <x:c r="C5" s="34" t="str">
        <x:v>En progreso</x:v>
      </x:c>
      <x:c r="D5" s="34" t="str">
        <x:v>En QA</x:v>
      </x:c>
      <x:c r="E5" s="34" t="str">
        <x:v>Bloqueadas</x:v>
      </x:c>
      <x:c r="F5" s="34" t="str">
        <x:v>Completadas</x:v>
      </x:c>
    </x:row>
    <x:row r="6" ht="32" customHeight="1">
      <x:c r="A6" s="41" t="n">
        <x:f>COUNTA('01_Backlog'!A2:A142)</x:f>
        <x:v>141</x:v>
      </x:c>
      <x:c r="B6" s="41" t="n">
        <x:f>COUNTIF('01_Backlog'!J2:J142,"READY")</x:f>
        <x:v>2</x:v>
      </x:c>
      <x:c r="C6" s="41" t="n">
        <x:f>COUNTIF('01_Backlog'!J2:J142,"EN_PROGRESO")</x:f>
        <x:v>0</x:v>
      </x:c>
      <x:c r="D6" s="41" t="n">
        <x:f>COUNTIF('01_Backlog'!J2:J142,"EN_QA")</x:f>
        <x:v>0</x:v>
      </x:c>
      <x:c r="E6" s="41" t="n">
        <x:f>COUNTIF('01_Backlog'!J2:J142,"BLOQUEADA")</x:f>
        <x:v>0</x:v>
      </x:c>
      <x:c r="F6" s="41" t="n">
        <x:f>COUNTIF('01_Backlog'!J2:J142,"COMPLETADA")</x:f>
        <x:v>0</x:v>
      </x:c>
    </x:row>
    <x:row r="9">
      <x:c r="A9" s="6" t="str">
        <x:v>Owner</x:v>
      </x:c>
      <x:c r="B9" s="6" t="str">
        <x:v>Total asignadas</x:v>
      </x:c>
      <x:c r="C9" s="6" t="str">
        <x:v>Estado inicial READY</x:v>
      </x:c>
      <x:c r="E9" s="6" t="str">
        <x:v>Aplicación</x:v>
      </x:c>
      <x:c r="F9" s="6" t="str">
        <x:v>Total</x:v>
      </x:c>
      <x:c r="G9" s="6" t="str">
        <x:v>Completadas</x:v>
      </x:c>
    </x:row>
    <x:row r="10" ht="24" customHeight="1">
      <x:c r="A10" s="12" t="str">
        <x:v>WEB-1</x:v>
      </x:c>
      <x:c r="B10" s="12" t="n">
        <x:f>COUNTIF('01_Backlog'!E2:E142,A10)</x:f>
        <x:v>17</x:v>
      </x:c>
      <x:c r="C10" s="12" t="n">
        <x:f>COUNTIFS('01_Backlog'!E2:E142,A10,'01_Backlog'!J2:J142,"READY")</x:f>
        <x:v>1</x:v>
      </x:c>
      <x:c r="E10" t="str">
        <x:v>WEB</x:v>
      </x:c>
      <x:c r="F10" t="n">
        <x:f>COUNTIF('01_Backlog'!C2:C142,E10)</x:f>
        <x:v>114</x:v>
      </x:c>
      <x:c r="G10" t="n">
        <x:f>COUNTIFS('01_Backlog'!C2:C142,E10,'01_Backlog'!J2:J142,"COMPLETADA")</x:f>
        <x:v>0</x:v>
      </x:c>
    </x:row>
    <x:row r="11" ht="24" customHeight="1">
      <x:c r="A11" s="12" t="str">
        <x:v>WEB-2</x:v>
      </x:c>
      <x:c r="B11" s="12" t="n">
        <x:f>COUNTIF('01_Backlog'!E2:E142,A11)</x:f>
        <x:v>26</x:v>
      </x:c>
      <x:c r="C11" s="12" t="n">
        <x:f>COUNTIFS('01_Backlog'!E2:E142,A11,'01_Backlog'!J2:J142,"READY")</x:f>
        <x:v>0</x:v>
      </x:c>
      <x:c r="E11" t="str">
        <x:v>ANDROID</x:v>
      </x:c>
      <x:c r="F11" t="n">
        <x:f>COUNTIF('01_Backlog'!C2:C142,E11)</x:f>
        <x:v>27</x:v>
      </x:c>
      <x:c r="G11" t="n">
        <x:f>COUNTIFS('01_Backlog'!C2:C142,E11,'01_Backlog'!J2:J142,"COMPLETADA")</x:f>
        <x:v>0</x:v>
      </x:c>
    </x:row>
    <x:row r="12" ht="24" customHeight="1">
      <x:c r="A12" s="12" t="str">
        <x:v>WEB-3</x:v>
      </x:c>
      <x:c r="B12" s="12" t="n">
        <x:f>COUNTIF('01_Backlog'!E2:E142,A12)</x:f>
        <x:v>45</x:v>
      </x:c>
      <x:c r="C12" s="12" t="n">
        <x:f>COUNTIFS('01_Backlog'!E2:E142,A12,'01_Backlog'!J2:J142,"READY")</x:f>
        <x:v>0</x:v>
      </x:c>
    </x:row>
    <x:row r="13" ht="24" customHeight="1">
      <x:c r="A13" s="12" t="str">
        <x:v>WEB-4</x:v>
      </x:c>
      <x:c r="B13" s="12" t="n">
        <x:f>COUNTIF('01_Backlog'!E2:E142,A13)</x:f>
        <x:v>26</x:v>
      </x:c>
      <x:c r="C13" s="12" t="n">
        <x:f>COUNTIFS('01_Backlog'!E2:E142,A13,'01_Backlog'!J2:J142,"READY")</x:f>
        <x:v>0</x:v>
      </x:c>
    </x:row>
    <x:row r="14" ht="24" customHeight="1">
      <x:c r="A14" s="12" t="str">
        <x:v>ANDROID-1</x:v>
      </x:c>
      <x:c r="B14" s="12" t="n">
        <x:f>COUNTIF('01_Backlog'!E2:E142,A14)</x:f>
        <x:v>27</x:v>
      </x:c>
      <x:c r="C14" s="12" t="n">
        <x:f>COUNTIFS('01_Backlog'!E2:E142,A14,'01_Backlog'!J2:J142,"READY")</x:f>
        <x:v>1</x:v>
      </x:c>
    </x:row>
    <x:row r="17">
      <x:c r="A17" s="6" t="str">
        <x:v>Flujo obligatorio</x:v>
      </x:c>
      <x:c r="B17" s="6"/>
      <x:c r="C17" s="6"/>
      <x:c r="D17" s="6"/>
      <x:c r="E17" s="6"/>
      <x:c r="F17" s="6"/>
      <x:c r="G17" s="6"/>
      <x:c r="H17" s="6"/>
    </x:row>
    <x:row r="18" ht="28" customHeight="1">
      <x:c r="A18" s="60" t="str">
        <x:v>PENDIENTE</x:v>
      </x:c>
      <x:c r="B18" s="60" t="str">
        <x:v>→</x:v>
      </x:c>
      <x:c r="C18" s="60" t="str">
        <x:v>READY</x:v>
      </x:c>
      <x:c r="D18" s="60" t="str">
        <x:v>→</x:v>
      </x:c>
      <x:c r="E18" s="48"/>
      <x:c r="F18" s="48"/>
      <x:c r="G18" s="48"/>
      <x:c r="H18" s="48"/>
    </x:row>
    <x:row r="19" ht="28" customHeight="1">
      <x:c r="A19" s="60" t="str">
        <x:v>EN_PROGRESO</x:v>
      </x:c>
      <x:c r="B19" s="60" t="str">
        <x:v>→</x:v>
      </x:c>
      <x:c r="C19" s="60" t="str">
        <x:v>EN_QA</x:v>
      </x:c>
      <x:c r="D19" s="60" t="str">
        <x:v>→ COMPLETADA</x:v>
      </x:c>
      <x:c r="E19" s="48"/>
      <x:c r="F19" s="48"/>
      <x:c r="G19" s="48"/>
      <x:c r="H19" s="48"/>
    </x:row>
    <x:row r="20" ht="28" customHeight="1">
      <x:c r="A20" s="60" t="str">
        <x:v>Si QA falla</x:v>
      </x:c>
      <x:c r="B20" s="60" t="str">
        <x:v>→</x:v>
      </x:c>
      <x:c r="C20" s="60" t="str">
        <x:v>EN_PROGRESO</x:v>
      </x:c>
      <x:c r="D20" s="60" t="str">
        <x:v>corregir y re-QA</x:v>
      </x:c>
      <x:c r="E20" s="48"/>
      <x:c r="F20" s="48"/>
      <x:c r="G20" s="48"/>
      <x:c r="H20" s="48"/>
    </x:row>
    <x:row r="22">
      <x:c r="A22" s="55" t="str">
        <x:v>Cómo usar este backlog:
1) Cada integrante filtra Owner y Estado=READY. 2) Verifica dependencias y DoR. 3) Cambia a EN_PROGRESO y registra rama/fecha. 4) Al terminar, abre PR, adjunta evidencia y cambia a EN_QA. 5) El reviewer ejecuta criterios de aceptación + DoD. Si falla, vuelve a EN_PROGRESO. 6) Solo con PASS se marca COMPLETADA. Para tareas shared/cross-domain, el reviewer indicado es obligatorio.</x:v>
      </x:c>
      <x:c r="B22" s="55"/>
      <x:c r="C22" s="55"/>
      <x:c r="D22" s="55"/>
      <x:c r="E22" s="55"/>
      <x:c r="F22" s="55"/>
      <x:c r="G22" s="55"/>
      <x:c r="H22" s="55"/>
    </x:row>
    <x:row r="23">
      <x:c r="A23" s="55"/>
      <x:c r="B23" s="55"/>
      <x:c r="C23" s="55"/>
      <x:c r="D23" s="55"/>
      <x:c r="E23" s="55"/>
      <x:c r="F23" s="55"/>
      <x:c r="G23" s="55"/>
      <x:c r="H23" s="55"/>
    </x:row>
    <x:row r="24">
      <x:c r="A24" s="55"/>
      <x:c r="B24" s="55"/>
      <x:c r="C24" s="55"/>
      <x:c r="D24" s="55"/>
      <x:c r="E24" s="55"/>
      <x:c r="F24" s="55"/>
      <x:c r="G24" s="55"/>
      <x:c r="H24" s="55"/>
    </x:row>
    <x:row r="25">
      <x:c r="A25" s="55"/>
      <x:c r="B25" s="55"/>
      <x:c r="C25" s="55"/>
      <x:c r="D25" s="55"/>
      <x:c r="E25" s="55"/>
      <x:c r="F25" s="55"/>
      <x:c r="G25" s="55"/>
      <x:c r="H25" s="55"/>
    </x:row>
  </x:sheetData>
  <x:mergeCells>
    <x:mergeCell ref="A1:H2"/>
    <x:mergeCell ref="A3:H3"/>
    <x:mergeCell ref="A22:H25"/>
    <x:mergeCell ref="A17:D17"/>
  </x:mergeCells>
  <x:pageMargins left="0.7" right="0.7" top="0.75" bottom="0.75" header="0.3" footer="0.3"/>
  <x:drawing xmlns:r="http://schemas.openxmlformats.org/officeDocument/2006/relationships" r:id="R0a04b1be9a594908"/>
</x:worksheet>
</file>

<file path=xl/worksheets/sheet2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22" hidden="0" customWidth="1"/>
    <x:col min="3" max="3" width="10" hidden="0" customWidth="1"/>
    <x:col min="4" max="4" width="18" hidden="0" customWidth="1"/>
    <x:col min="5" max="5" width="12" hidden="0" customWidth="1"/>
    <x:col min="6" max="6" width="12" hidden="0" customWidth="1"/>
    <x:col min="7" max="7" width="20" hidden="0" customWidth="1"/>
    <x:col min="8" max="8" width="12" hidden="0" customWidth="1"/>
    <x:col min="9" max="9" width="11" hidden="0" customWidth="1"/>
    <x:col min="10" max="10" width="14" hidden="0" customWidth="1"/>
    <x:col min="11" max="11" width="28" hidden="0" customWidth="1"/>
    <x:col min="12" max="12" width="30" hidden="0" customWidth="1"/>
    <x:col min="13" max="13" width="16" hidden="0" customWidth="1"/>
    <x:col min="14" max="14" width="24" hidden="0" customWidth="1"/>
    <x:col min="15" max="15" width="36" hidden="0" customWidth="1"/>
    <x:col min="16" max="16" width="52" hidden="0" customWidth="1"/>
    <x:col min="17" max="17" width="52" hidden="0" customWidth="1"/>
    <x:col min="18" max="18" width="42" hidden="0" customWidth="1"/>
    <x:col min="19" max="19" width="48" hidden="0" customWidth="1"/>
    <x:col min="20" max="20" width="34" hidden="0" customWidth="1"/>
    <x:col min="21" max="21" width="40" hidden="0" customWidth="1"/>
    <x:col min="22" max="22" width="28" hidden="0" customWidth="1"/>
    <x:col min="23" max="23" width="32" hidden="0" customWidth="1"/>
    <x:col min="24" max="24" width="14" hidden="0" customWidth="1"/>
    <x:col min="25" max="25" width="14" hidden="0" customWidth="1"/>
    <x:col min="26" max="26" width="34" hidden="0" customWidth="1"/>
  </x:cols>
  <x:sheetData>
    <x:row r="1">
      <x:c r="A1" s="6" t="str">
        <x:v>ID</x:v>
      </x:c>
      <x:c r="B1" s="6" t="str">
        <x:v>Sprint</x:v>
      </x:c>
      <x:c r="C1" s="6" t="str">
        <x:v>App</x:v>
      </x:c>
      <x:c r="D1" s="6" t="str">
        <x:v>Área</x:v>
      </x:c>
      <x:c r="E1" s="6" t="str">
        <x:v>Owner</x:v>
      </x:c>
      <x:c r="F1" s="6" t="str">
        <x:v>Reviewer</x:v>
      </x:c>
      <x:c r="G1" s="6" t="str">
        <x:v>Módulo</x:v>
      </x:c>
      <x:c r="H1" s="6" t="str">
        <x:v>Tipo</x:v>
      </x:c>
      <x:c r="I1" s="6" t="str">
        <x:v>Prioridad</x:v>
      </x:c>
      <x:c r="J1" s="6" t="str">
        <x:v>Estado</x:v>
      </x:c>
      <x:c r="K1" s="6" t="str">
        <x:v>Dependencias</x:v>
      </x:c>
      <x:c r="L1" s="6" t="str">
        <x:v>Figma / Fuente</x:v>
      </x:c>
      <x:c r="M1" s="6" t="str">
        <x:v>Node ID</x:v>
      </x:c>
      <x:c r="N1" s="6" t="str">
        <x:v>Ruta</x:v>
      </x:c>
      <x:c r="O1" s="6" t="str">
        <x:v>Tarea</x:v>
      </x:c>
      <x:c r="P1" s="6" t="str">
        <x:v>Pasos obligatorios</x:v>
      </x:c>
      <x:c r="Q1" s="6" t="str">
        <x:v>Criterios de aceptación</x:v>
      </x:c>
      <x:c r="R1" s="6" t="str">
        <x:v>Definition of Ready específica</x:v>
      </x:c>
      <x:c r="S1" s="6" t="str">
        <x:v>DoD específico de tarea</x:v>
      </x:c>
      <x:c r="T1" s="6" t="str">
        <x:v>Pruebas obligatorias</x:v>
      </x:c>
      <x:c r="U1" s="6" t="str">
        <x:v>Archivos / carpetas esperadas</x:v>
      </x:c>
      <x:c r="V1" s="6" t="str">
        <x:v>Rama sugerida</x:v>
      </x:c>
      <x:c r="W1" s="6" t="str">
        <x:v>PR / Evidencia</x:v>
      </x:c>
      <x:c r="X1" s="6" t="str">
        <x:v>Fecha inicio</x:v>
      </x:c>
      <x:c r="Y1" s="6" t="str">
        <x:v>Fecha fin</x:v>
      </x:c>
      <x:c r="Z1" s="6" t="str">
        <x:v>Observaciones</x:v>
      </x:c>
    </x:row>
    <x:row r="2" ht="84" customHeight="1">
      <x:c r="A2" s="14" t="str">
        <x:v>IMP-WEB-0001</x:v>
      </x:c>
      <x:c r="B2" s="14" t="str">
        <x:v>S0 Foundation</x:v>
      </x:c>
      <x:c r="C2" s="14" t="str">
        <x:v>WEB</x:v>
      </x:c>
      <x:c r="D2" s="14" t="str">
        <x:v>Infra</x:v>
      </x:c>
      <x:c r="E2" s="14" t="str">
        <x:v>WEB-1</x:v>
      </x:c>
      <x:c r="F2" s="14" t="str">
        <x:v>WEB-2</x:v>
      </x:c>
      <x:c r="G2" s="14" t="str">
        <x:v>foundation</x:v>
      </x:c>
      <x:c r="H2" s="14" t="str">
        <x:v>INFRA</x:v>
      </x:c>
      <x:c r="I2" s="14" t="str">
        <x:v>CRÍTICA</x:v>
      </x:c>
      <x:c r="J2" s="14" t="str">
        <x:v>READY</x:v>
      </x:c>
      <x:c r="K2" s="14" t="str"/>
      <x:c r="L2" s="14" t="str">
        <x:v>V3 — 00 Foundations &amp; Core ADRs</x:v>
      </x:c>
      <x:c r="M2" s="14" t="str"/>
      <x:c r="N2" s="14" t="str">
        <x:v>N/A</x:v>
      </x:c>
      <x:c r="O2" s="14" t="str">
        <x:v>Inicializar Next.js Web en el monorepo</x:v>
      </x:c>
      <x:c r="P2" s="14" t="str">
        <x:v>Crear Next.js App Router + TypeScript dentro de frontend/pms-hotel-web; usar npm; conservar docs/AGENTS; no crear features.</x:v>
      </x:c>
      <x:c r="Q2" s="14" t="str">
        <x:v>package.json y package-lock.json existen; npm run dev y build funcionan; no pnpm-workspace; no segundo .git; 0 features.</x:v>
      </x:c>
      <x:c r="R2" s="14" t="str">
        <x:v>Rama chore/web-sprint-0; docs V2 leídos; Node/npm disponibles.</x:v>
      </x:c>
      <x:c r="S2" s="14" t="str">
        <x:v>Build PASS; monorepo intacto; sin features ni módulos de negocio.</x:v>
      </x:c>
      <x:c r="T2" s="14" t="str">
        <x:v>npm run build</x:v>
      </x:c>
      <x:c r="U2" s="14" t="str">
        <x:v>frontend/pms-hotel-web/{package.json,package-lock.json,next.config.ts,next-env.d.ts}</x:v>
      </x:c>
      <x:c r="V2" s="14" t="str">
        <x:v>chore/web-sprint-0</x:v>
      </x:c>
      <x:c r="W2" s="14" t="str"/>
      <x:c r="X2" s="14" t="str"/>
      <x:c r="Y2" s="14" t="str"/>
      <x:c r="Z2" s="14" t="str"/>
    </x:row>
    <x:row r="3" ht="84" customHeight="1">
      <x:c r="A3" s="14" t="str">
        <x:v>IMP-WEB-0002</x:v>
      </x:c>
      <x:c r="B3" s="14" t="str">
        <x:v>S0 Foundation</x:v>
      </x:c>
      <x:c r="C3" s="14" t="str">
        <x:v>WEB</x:v>
      </x:c>
      <x:c r="D3" s="14" t="str">
        <x:v>Infra</x:v>
      </x:c>
      <x:c r="E3" s="14" t="str">
        <x:v>WEB-1</x:v>
      </x:c>
      <x:c r="F3" s="14" t="str">
        <x:v>WEB-4</x:v>
      </x:c>
      <x:c r="G3" s="14" t="str">
        <x:v>foundation</x:v>
      </x:c>
      <x:c r="H3" s="14" t="str">
        <x:v>INFRA</x:v>
      </x:c>
      <x:c r="I3" s="14" t="str">
        <x:v>CRÍTICA</x:v>
      </x:c>
      <x:c r="J3" s="14" t="str">
        <x:v>PENDIENTE</x:v>
      </x:c>
      <x:c r="K3" s="14" t="str">
        <x:v>IMP-WEB-0001</x:v>
      </x:c>
      <x:c r="L3" s="14" t="str">
        <x:v>V3 — 00 Foundations &amp; Core ADRs</x:v>
      </x:c>
      <x:c r="M3" s="14" t="str"/>
      <x:c r="N3" s="14" t="str">
        <x:v>N/A</x:v>
      </x:c>
      <x:c r="O3" s="14" t="str">
        <x:v>Configurar TypeScript strict, alias y src/</x:v>
      </x:c>
      <x:c r="P3" s="14" t="str">
        <x:v>Activar strict; @/*-&gt;src/*; crear app/modules/shared/data/lib; no crear módulos de negocio vacíos.</x:v>
      </x:c>
      <x:c r="Q3" s="14" t="str">
        <x:v>npm run typecheck PASS; alias funciona; 5 carpetas base existen; modules no contiene catálogo vacío.</x:v>
      </x:c>
      <x:c r="R3" s="14" t="str">
        <x:v>IMP-WEB-0001 COMPLETADA.</x:v>
      </x:c>
      <x:c r="S3" s="14" t="str">
        <x:v>Typecheck PASS; 0 any introducido por bootstrap; boundaries base respetados.</x:v>
      </x:c>
      <x:c r="T3" s="14" t="str">
        <x:v>npm run typecheck</x:v>
      </x:c>
      <x:c r="U3" s="14" t="str">
        <x:v>tsconfig.json; src/{app,modules,shared,data,lib}</x:v>
      </x:c>
      <x:c r="V3" s="14" t="str">
        <x:v>chore/web-sprint-0</x:v>
      </x:c>
      <x:c r="W3" s="14" t="str"/>
      <x:c r="X3" s="14" t="str"/>
      <x:c r="Y3" s="14" t="str"/>
      <x:c r="Z3" s="14" t="str"/>
    </x:row>
    <x:row r="4" ht="84" customHeight="1">
      <x:c r="A4" s="14" t="str">
        <x:v>IMP-WEB-0003</x:v>
      </x:c>
      <x:c r="B4" s="14" t="str">
        <x:v>S0 Foundation</x:v>
      </x:c>
      <x:c r="C4" s="14" t="str">
        <x:v>WEB</x:v>
      </x:c>
      <x:c r="D4" s="14" t="str">
        <x:v>Routing</x:v>
      </x:c>
      <x:c r="E4" s="14" t="str">
        <x:v>WEB-1</x:v>
      </x:c>
      <x:c r="F4" s="14" t="str">
        <x:v>WEB-3</x:v>
      </x:c>
      <x:c r="G4" s="14" t="str">
        <x:v>app-routing</x:v>
      </x:c>
      <x:c r="H4" s="14" t="str">
        <x:v>INFRA</x:v>
      </x:c>
      <x:c r="I4" s="14" t="str">
        <x:v>CRÍTICA</x:v>
      </x:c>
      <x:c r="J4" s="14" t="str">
        <x:v>PENDIENTE</x:v>
      </x:c>
      <x:c r="K4" s="14" t="str">
        <x:v>IMP-WEB-0002</x:v>
      </x:c>
      <x:c r="L4" s="14" t="str">
        <x:v>Requisito docente: (public)/(private)</x:v>
      </x:c>
      <x:c r="M4" s="14" t="str"/>
      <x:c r="N4" s="14" t="str">
        <x:v>/ y /dashboard</x:v>
      </x:c>
      <x:c r="O4" s="14" t="str">
        <x:v>Crear Route Groups y smoke pages</x:v>
      </x:c>
      <x:c r="P4" s="14" t="str">
        <x:v>Crear (public)/layout.tsx+page.tsx y (private)/layout.tsx+dashboard/page.tsx; no crear private/page.tsx.</x:v>
      </x:c>
      <x:c r="Q4" s="14" t="str">
        <x:v>/ carga desde public; /dashboard desde private; no colisión; layouts renderizan children; smoke sin UI final.</x:v>
      </x:c>
      <x:c r="R4" s="14" t="str">
        <x:v>IMP-WEB-0002 COMPLETADA.</x:v>
      </x:c>
      <x:c r="S4" s="14" t="str">
        <x:v>Build PASS; rutas PASS; Route Groups permanecen físicos.</x:v>
      </x:c>
      <x:c r="T4" s="14" t="str">
        <x:v>npm run build + smoke manual</x:v>
      </x:c>
      <x:c r="U4" s="14" t="str">
        <x:v>src/app/(public)/*; src/app/(private)/*</x:v>
      </x:c>
      <x:c r="V4" s="14" t="str">
        <x:v>chore/web-sprint-0</x:v>
      </x:c>
      <x:c r="W4" s="14" t="str"/>
      <x:c r="X4" s="14" t="str"/>
      <x:c r="Y4" s="14" t="str"/>
      <x:c r="Z4" s="14" t="str"/>
    </x:row>
    <x:row r="5" ht="84" customHeight="1">
      <x:c r="A5" s="14" t="str">
        <x:v>IMP-WEB-0004</x:v>
      </x:c>
      <x:c r="B5" s="14" t="str">
        <x:v>S0 Foundation</x:v>
      </x:c>
      <x:c r="C5" s="14" t="str">
        <x:v>WEB</x:v>
      </x:c>
      <x:c r="D5" s="14" t="str">
        <x:v>Design System</x:v>
      </x:c>
      <x:c r="E5" s="14" t="str">
        <x:v>WEB-2</x:v>
      </x:c>
      <x:c r="F5" s="14" t="str">
        <x:v>WEB-1</x:v>
      </x:c>
      <x:c r="G5" s="14" t="str">
        <x:v>shared/styles</x:v>
      </x:c>
      <x:c r="H5" s="14" t="str">
        <x:v>INFRA</x:v>
      </x:c>
      <x:c r="I5" s="14" t="str">
        <x:v>CRÍTICA</x:v>
      </x:c>
      <x:c r="J5" s="14" t="str">
        <x:v>PENDIENTE</x:v>
      </x:c>
      <x:c r="K5" s="14" t="str">
        <x:v>IMP-WEB-0001</x:v>
      </x:c>
      <x:c r="L5" s="14" t="str">
        <x:v>frontend/pms-hotel-web/docs/31_DESIGN_TOKEN_FOUNDATION.md</x:v>
      </x:c>
      <x:c r="M5" s="14" t="str"/>
      <x:c r="N5" s="14" t="str">
        <x:v>N/A</x:v>
      </x:c>
      <x:c r="O5" s="14" t="str">
        <x:v>Implementar tokens reales de Figma</x:v>
      </x:c>
      <x:c r="P5" s="14" t="str">
        <x:v>Crear tokens.css desde 31_DESIGN_TOKEN_FOUNDATION.md; primitivas, aliases, spacing, radius, typography, shadow; no inventar dark mode.</x:v>
      </x:c>
      <x:c r="Q5" s="14" t="str">
        <x:v>Todos los tokens documentados están presentes; semantic aliases referencian primitives; Lora/Inter y shadow coinciden; 0 valores inventados.</x:v>
      </x:c>
      <x:c r="R5" s="14" t="str">
        <x:v>31_DESIGN_TOKEN_FOUNDATION.md presente.</x:v>
      </x:c>
      <x:c r="S5" s="14" t="str">
        <x:v>Revisión 1:1 contra Figma handoff; build PASS.</x:v>
      </x:c>
      <x:c r="T5" s="14" t="str">
        <x:v>build + revisión manual</x:v>
      </x:c>
      <x:c r="U5" s="14" t="str">
        <x:v>src/shared/styles/tokens.css</x:v>
      </x:c>
      <x:c r="V5" s="14" t="str">
        <x:v>chore/web-sprint-0</x:v>
      </x:c>
      <x:c r="W5" s="14" t="str"/>
      <x:c r="X5" s="14" t="str"/>
      <x:c r="Y5" s="14" t="str"/>
      <x:c r="Z5" s="14" t="str"/>
    </x:row>
    <x:row r="6" ht="84" customHeight="1">
      <x:c r="A6" s="14" t="str">
        <x:v>IMP-WEB-0005</x:v>
      </x:c>
      <x:c r="B6" s="14" t="str">
        <x:v>S0 Foundation</x:v>
      </x:c>
      <x:c r="C6" s="14" t="str">
        <x:v>WEB</x:v>
      </x:c>
      <x:c r="D6" s="14" t="str">
        <x:v>Design System</x:v>
      </x:c>
      <x:c r="E6" s="14" t="str">
        <x:v>WEB-2</x:v>
      </x:c>
      <x:c r="F6" s="14" t="str">
        <x:v>WEB-1</x:v>
      </x:c>
      <x:c r="G6" s="14" t="str">
        <x:v>shared/styles</x:v>
      </x:c>
      <x:c r="H6" s="14" t="str">
        <x:v>INFRA</x:v>
      </x:c>
      <x:c r="I6" s="14" t="str">
        <x:v>ALTA</x:v>
      </x:c>
      <x:c r="J6" s="14" t="str">
        <x:v>PENDIENTE</x:v>
      </x:c>
      <x:c r="K6" s="14" t="str">
        <x:v>IMP-WEB-0003, IMP-WEB-0004</x:v>
      </x:c>
      <x:c r="L6" s="14" t="str">
        <x:v>Typography / Global foundation</x:v>
      </x:c>
      <x:c r="M6" s="14" t="str"/>
      <x:c r="N6" s="14" t="str">
        <x:v>N/A</x:v>
      </x:c>
      <x:c r="O6" s="14" t="str">
        <x:v>Configurar globals.css y tipografías</x:v>
      </x:c>
      <x:c r="P6" s="14" t="str">
        <x:v>Importar tokens; reset/base mínimos; cargar Lora/Inter con mecanismo Web aprobado; no versionar fuentes.</x:v>
      </x:c>
      <x:c r="Q6" s="14" t="str">
        <x:v>Smoke pages usan surface/page y text/primary; fuentes cargan; 0 estilos de feature; no font binaries.</x:v>
      </x:c>
      <x:c r="R6" s="14" t="str">
        <x:v>0003 y 0004 COMPLETADAS.</x:v>
      </x:c>
      <x:c r="S6" s="14" t="str">
        <x:v>Build PASS; visual smoke.</x:v>
      </x:c>
      <x:c r="T6" s="14" t="str">
        <x:v>npm run build</x:v>
      </x:c>
      <x:c r="U6" s="14" t="str">
        <x:v>src/app/globals.css; src/app/layout.tsx</x:v>
      </x:c>
      <x:c r="V6" s="14" t="str">
        <x:v>chore/web-sprint-0</x:v>
      </x:c>
      <x:c r="W6" s="14" t="str"/>
      <x:c r="X6" s="14" t="str"/>
      <x:c r="Y6" s="14" t="str"/>
      <x:c r="Z6" s="14" t="str"/>
    </x:row>
    <x:row r="7" ht="84" customHeight="1">
      <x:c r="A7" s="14" t="str">
        <x:v>IMP-WEB-0006</x:v>
      </x:c>
      <x:c r="B7" s="14" t="str">
        <x:v>S0 Foundation</x:v>
      </x:c>
      <x:c r="C7" s="14" t="str">
        <x:v>WEB</x:v>
      </x:c>
      <x:c r="D7" s="14" t="str">
        <x:v>Infra</x:v>
      </x:c>
      <x:c r="E7" s="14" t="str">
        <x:v>WEB-4</x:v>
      </x:c>
      <x:c r="F7" s="14" t="str">
        <x:v>WEB-1</x:v>
      </x:c>
      <x:c r="G7" s="14" t="str">
        <x:v>lib/http</x:v>
      </x:c>
      <x:c r="H7" s="14" t="str">
        <x:v>INFRA</x:v>
      </x:c>
      <x:c r="I7" s="14" t="str">
        <x:v>CRÍTICA</x:v>
      </x:c>
      <x:c r="J7" s="14" t="str">
        <x:v>PENDIENTE</x:v>
      </x:c>
      <x:c r="K7" s="14" t="str">
        <x:v>IMP-WEB-0002</x:v>
      </x:c>
      <x:c r="L7" s="14" t="str">
        <x:v>frontend/pms-hotel-web/docs/09_SERVICE_RULES.md</x:v>
      </x:c>
      <x:c r="M7" s="14" t="str"/>
      <x:c r="N7" s="14" t="str">
        <x:v>N/A</x:v>
      </x:c>
      <x:c r="O7" s="14" t="str">
        <x:v>Crear cliente HTTP base con fetch</x:v>
      </x:c>
      <x:c r="P7" s="14" t="str">
        <x:v>Crear env tipado y http client; base URL; headers; errores de transporte; no endpoints de dominio; no localStorage.</x:v>
      </x:c>
      <x:c r="Q7" s="14" t="str">
        <x:v>Cliente fetch reutilizable; URL por env; errores tipados; 0 endpoints business; 0 auth real.</x:v>
      </x:c>
      <x:c r="R7" s="14" t="str">
        <x:v>0002 COMPLETADA.</x:v>
      </x:c>
      <x:c r="S7" s="14" t="str">
        <x:v>Tests del cliente base + lint/typecheck.</x:v>
      </x:c>
      <x:c r="T7" s="14" t="str">
        <x:v>Vitest + typecheck</x:v>
      </x:c>
      <x:c r="U7" s="14" t="str">
        <x:v>src/lib/http/*; src/lib/env.ts</x:v>
      </x:c>
      <x:c r="V7" s="14" t="str">
        <x:v>chore/web-sprint-0</x:v>
      </x:c>
      <x:c r="W7" s="14" t="str"/>
      <x:c r="X7" s="14" t="str"/>
      <x:c r="Y7" s="14" t="str"/>
      <x:c r="Z7" s="14" t="str"/>
    </x:row>
    <x:row r="8" ht="84" customHeight="1">
      <x:c r="A8" s="14" t="str">
        <x:v>IMP-WEB-0007</x:v>
      </x:c>
      <x:c r="B8" s="14" t="str">
        <x:v>S0 Foundation</x:v>
      </x:c>
      <x:c r="C8" s="14" t="str">
        <x:v>WEB</x:v>
      </x:c>
      <x:c r="D8" s="14" t="str">
        <x:v>Arquitectura</x:v>
      </x:c>
      <x:c r="E8" s="14" t="str">
        <x:v>WEB-4</x:v>
      </x:c>
      <x:c r="F8" s="14" t="str">
        <x:v>WEB-3</x:v>
      </x:c>
      <x:c r="G8" s="14" t="str">
        <x:v>lib/errors</x:v>
      </x:c>
      <x:c r="H8" s="14" t="str">
        <x:v>INFRA</x:v>
      </x:c>
      <x:c r="I8" s="14" t="str">
        <x:v>ALTA</x:v>
      </x:c>
      <x:c r="J8" s="14" t="str">
        <x:v>PENDIENTE</x:v>
      </x:c>
      <x:c r="K8" s="14" t="str">
        <x:v>IMP-WEB-0002</x:v>
      </x:c>
      <x:c r="L8" s="14" t="str">
        <x:v>frontend/pms-hotel-web/docs/07_MAPPER_RULES.md</x:v>
      </x:c>
      <x:c r="M8" s="14" t="str"/>
      <x:c r="N8" s="14" t="str">
        <x:v>N/A</x:v>
      </x:c>
      <x:c r="O8" s="14" t="str">
        <x:v>Crear DomainMappingError</x:v>
      </x:c>
      <x:c r="P8" s="14" t="str">
        <x:v>Error tipado para campo DTO obligatorio inválido; code seguro; no payload/PII; test mínimo.</x:v>
      </x:c>
      <x:c r="Q8" s="14" t="str">
        <x:v>Error permite code seguro; no serializa DTO crudo; test PASS.</x:v>
      </x:c>
      <x:c r="R8" s="14" t="str">
        <x:v>0002 COMPLETADA.</x:v>
      </x:c>
      <x:c r="S8" s="14" t="str">
        <x:v>Vitest/lint/typecheck PASS.</x:v>
      </x:c>
      <x:c r="T8" s="14" t="str">
        <x:v>Vitest</x:v>
      </x:c>
      <x:c r="U8" s="14" t="str">
        <x:v>src/lib/errors/domain-mapping-error.ts</x:v>
      </x:c>
      <x:c r="V8" s="14" t="str">
        <x:v>chore/web-sprint-0</x:v>
      </x:c>
      <x:c r="W8" s="14" t="str"/>
      <x:c r="X8" s="14" t="str"/>
      <x:c r="Y8" s="14" t="str"/>
      <x:c r="Z8" s="14" t="str"/>
    </x:row>
    <x:row r="9" ht="84" customHeight="1">
      <x:c r="A9" s="14" t="str">
        <x:v>IMP-WEB-0008</x:v>
      </x:c>
      <x:c r="B9" s="14" t="str">
        <x:v>S0 Foundation</x:v>
      </x:c>
      <x:c r="C9" s="14" t="str">
        <x:v>WEB</x:v>
      </x:c>
      <x:c r="D9" s="14" t="str">
        <x:v>State</x:v>
      </x:c>
      <x:c r="E9" s="14" t="str">
        <x:v>WEB-2</x:v>
      </x:c>
      <x:c r="F9" s="14" t="str">
        <x:v>WEB-4</x:v>
      </x:c>
      <x:c r="G9" s="14" t="str">
        <x:v>app/providers</x:v>
      </x:c>
      <x:c r="H9" s="14" t="str">
        <x:v>INFRA</x:v>
      </x:c>
      <x:c r="I9" s="14" t="str">
        <x:v>CRÍTICA</x:v>
      </x:c>
      <x:c r="J9" s="14" t="str">
        <x:v>PENDIENTE</x:v>
      </x:c>
      <x:c r="K9" s="14" t="str">
        <x:v>IMP-WEB-0002</x:v>
      </x:c>
      <x:c r="L9" s="14" t="str">
        <x:v>frontend/pms-hotel-web/docs/10_HOOK_AND_STATE_RULES.md</x:v>
      </x:c>
      <x:c r="M9" s="14" t="str"/>
      <x:c r="N9" s="14" t="str">
        <x:v>N/A</x:v>
      </x:c>
      <x:c r="O9" s="14" t="str">
        <x:v>Configurar TanStack Query</x:v>
      </x:c>
      <x:c r="P9" s="14" t="str">
        <x:v>Instalar @tanstack/react-query; providers.tsx; QueryClientProvider en root; defaults conservadores; sin queries de negocio.</x:v>
      </x:c>
      <x:c r="Q9" s="14" t="str">
        <x:v>Provider activo; smoke pages renderizan; 0 queries business; sin optimistic defaults sensibles.</x:v>
      </x:c>
      <x:c r="R9" s="14" t="str">
        <x:v>0002 COMPLETADA.</x:v>
      </x:c>
      <x:c r="S9" s="14" t="str">
        <x:v>Smoke test provider + build.</x:v>
      </x:c>
      <x:c r="T9" s="14" t="str">
        <x:v>Vitest/RTL + build</x:v>
      </x:c>
      <x:c r="U9" s="14" t="str">
        <x:v>src/app/providers.tsx; package.json</x:v>
      </x:c>
      <x:c r="V9" s="14" t="str">
        <x:v>chore/web-sprint-0</x:v>
      </x:c>
      <x:c r="W9" s="14" t="str"/>
      <x:c r="X9" s="14" t="str"/>
      <x:c r="Y9" s="14" t="str"/>
      <x:c r="Z9" s="14" t="str"/>
    </x:row>
    <x:row r="10" ht="84" customHeight="1">
      <x:c r="A10" s="14" t="str">
        <x:v>IMP-WEB-0009</x:v>
      </x:c>
      <x:c r="B10" s="14" t="str">
        <x:v>S0 Foundation</x:v>
      </x:c>
      <x:c r="C10" s="14" t="str">
        <x:v>WEB</x:v>
      </x:c>
      <x:c r="D10" s="14" t="str">
        <x:v>Mocks</x:v>
      </x:c>
      <x:c r="E10" s="14" t="str">
        <x:v>WEB-3</x:v>
      </x:c>
      <x:c r="F10" s="14" t="str">
        <x:v>WEB-4</x:v>
      </x:c>
      <x:c r="G10" s="14" t="str">
        <x:v>data/mocks</x:v>
      </x:c>
      <x:c r="H10" s="14" t="str">
        <x:v>INFRA</x:v>
      </x:c>
      <x:c r="I10" s="14" t="str">
        <x:v>CRÍTICA</x:v>
      </x:c>
      <x:c r="J10" s="14" t="str">
        <x:v>PENDIENTE</x:v>
      </x:c>
      <x:c r="K10" s="14" t="str">
        <x:v>IMP-WEB-0006</x:v>
      </x:c>
      <x:c r="L10" s="14" t="str">
        <x:v>frontend/pms-hotel-web/docs/23_MOCK_API.md</x:v>
      </x:c>
      <x:c r="M10" s="14" t="str"/>
      <x:c r="N10" s="14" t="str">
        <x:v>N/A</x:v>
      </x:c>
      <x:c r="O10" s="14" t="str">
        <x:v>Configurar MSW</x:v>
      </x:c>
      <x:c r="P10" s="14" t="str">
        <x:v>Instalar MSW; generar worker; browser/server/handlers; activar con NEXT_PUBLIC_USE_MOCK_API=true; no fixtures business.</x:v>
      </x:c>
      <x:c r="Q10" s="14" t="str">
        <x:v>MSW intercepta request técnico; flag ON/OFF funciona; UI no importa mocks; worker generado oficialmente.</x:v>
      </x:c>
      <x:c r="R10" s="14" t="str">
        <x:v>0006 COMPLETADA.</x:v>
      </x:c>
      <x:c r="S10" s="14" t="str">
        <x:v>Vitest con MSW + build.</x:v>
      </x:c>
      <x:c r="T10" s="14" t="str">
        <x:v>Vitest</x:v>
      </x:c>
      <x:c r="U10" s="14" t="str">
        <x:v>public/mockServiceWorker.js; src/data/mocks/*</x:v>
      </x:c>
      <x:c r="V10" s="14" t="str">
        <x:v>chore/web-sprint-0</x:v>
      </x:c>
      <x:c r="W10" s="14" t="str"/>
      <x:c r="X10" s="14" t="str"/>
      <x:c r="Y10" s="14" t="str"/>
      <x:c r="Z10" s="14" t="str"/>
    </x:row>
    <x:row r="11" ht="84" customHeight="1">
      <x:c r="A11" s="14" t="str">
        <x:v>IMP-WEB-0010</x:v>
      </x:c>
      <x:c r="B11" s="14" t="str">
        <x:v>S0 Foundation</x:v>
      </x:c>
      <x:c r="C11" s="14" t="str">
        <x:v>WEB</x:v>
      </x:c>
      <x:c r="D11" s="14" t="str">
        <x:v>Testing</x:v>
      </x:c>
      <x:c r="E11" s="14" t="str">
        <x:v>WEB-3</x:v>
      </x:c>
      <x:c r="F11" s="14" t="str">
        <x:v>WEB-2</x:v>
      </x:c>
      <x:c r="G11" s="14" t="str">
        <x:v>test</x:v>
      </x:c>
      <x:c r="H11" s="14" t="str">
        <x:v>INFRA</x:v>
      </x:c>
      <x:c r="I11" s="14" t="str">
        <x:v>CRÍTICA</x:v>
      </x:c>
      <x:c r="J11" s="14" t="str">
        <x:v>PENDIENTE</x:v>
      </x:c>
      <x:c r="K11" s="14" t="str">
        <x:v>IMP-WEB-0001</x:v>
      </x:c>
      <x:c r="L11" s="14" t="str">
        <x:v>frontend/pms-hotel-web/docs/26_TESTING.md</x:v>
      </x:c>
      <x:c r="M11" s="14" t="str"/>
      <x:c r="N11" s="14" t="str">
        <x:v>N/A</x:v>
      </x:c>
      <x:c r="O11" s="14" t="str">
        <x:v>Configurar Vitest + Testing Library</x:v>
      </x:c>
      <x:c r="P11" s="14" t="str">
        <x:v>Instalar Vitest/RTL/jsdom; config/setup; smoke test; no Playwright.</x:v>
      </x:c>
      <x:c r="Q11" s="14" t="str">
        <x:v>npm test PASS; RTL renderiza smoke; no Playwright/test:e2e.</x:v>
      </x:c>
      <x:c r="R11" s="14" t="str">
        <x:v>0001 COMPLETADA.</x:v>
      </x:c>
      <x:c r="S11" s="14" t="str">
        <x:v>npm test PASS.</x:v>
      </x:c>
      <x:c r="T11" s="14" t="str">
        <x:v>npm test</x:v>
      </x:c>
      <x:c r="U11" s="14" t="str">
        <x:v>vitest.config.ts; src/test/setup.ts</x:v>
      </x:c>
      <x:c r="V11" s="14" t="str">
        <x:v>chore/web-sprint-0</x:v>
      </x:c>
      <x:c r="W11" s="14" t="str"/>
      <x:c r="X11" s="14" t="str"/>
      <x:c r="Y11" s="14" t="str"/>
      <x:c r="Z11" s="14" t="str"/>
    </x:row>
    <x:row r="12" ht="84" customHeight="1">
      <x:c r="A12" s="14" t="str">
        <x:v>IMP-WEB-0011</x:v>
      </x:c>
      <x:c r="B12" s="14" t="str">
        <x:v>S0 Foundation</x:v>
      </x:c>
      <x:c r="C12" s="14" t="str">
        <x:v>WEB</x:v>
      </x:c>
      <x:c r="D12" s="14" t="str">
        <x:v>Calidad</x:v>
      </x:c>
      <x:c r="E12" s="14" t="str">
        <x:v>WEB-4</x:v>
      </x:c>
      <x:c r="F12" s="14" t="str">
        <x:v>WEB-3</x:v>
      </x:c>
      <x:c r="G12" s="14" t="str">
        <x:v>eslint</x:v>
      </x:c>
      <x:c r="H12" s="14" t="str">
        <x:v>INFRA</x:v>
      </x:c>
      <x:c r="I12" s="14" t="str">
        <x:v>CRÍTICA</x:v>
      </x:c>
      <x:c r="J12" s="14" t="str">
        <x:v>PENDIENTE</x:v>
      </x:c>
      <x:c r="K12" s="14" t="str">
        <x:v>IMP-WEB-0002</x:v>
      </x:c>
      <x:c r="L12" s="14" t="str">
        <x:v>frontend/pms-hotel-web/docs/04_MODULE_BOUNDARIES.md</x:v>
      </x:c>
      <x:c r="M12" s="14" t="str"/>
      <x:c r="N12" s="14" t="str">
        <x:v>N/A</x:v>
      </x:c>
      <x:c r="O12" s="14" t="str">
        <x:v>Configurar ESLint flat + boundaries</x:v>
      </x:c>
      <x:c r="P12" s="14" t="str">
        <x:v>Impedir shared-&gt;modules, lib-&gt;modules y deep imports cross-module; max warnings 0.</x:v>
      </x:c>
      <x:c r="Q12" s="14" t="str">
        <x:v>npm run lint PASS; regla detecta violación temporal y el repo final queda limpio.</x:v>
      </x:c>
      <x:c r="R12" s="14" t="str">
        <x:v>0002 COMPLETADA.</x:v>
      </x:c>
      <x:c r="S12" s="14" t="str">
        <x:v>Lint PASS.</x:v>
      </x:c>
      <x:c r="T12" s="14" t="str">
        <x:v>npm run lint</x:v>
      </x:c>
      <x:c r="U12" s="14" t="str">
        <x:v>eslint.config.mjs</x:v>
      </x:c>
      <x:c r="V12" s="14" t="str">
        <x:v>chore/web-sprint-0</x:v>
      </x:c>
      <x:c r="W12" s="14" t="str"/>
      <x:c r="X12" s="14" t="str"/>
      <x:c r="Y12" s="14" t="str"/>
      <x:c r="Z12" s="14" t="str"/>
    </x:row>
    <x:row r="13" ht="84" customHeight="1">
      <x:c r="A13" s="14" t="str">
        <x:v>IMP-WEB-0012</x:v>
      </x:c>
      <x:c r="B13" s="14" t="str">
        <x:v>S0 Foundation</x:v>
      </x:c>
      <x:c r="C13" s="14" t="str">
        <x:v>WEB</x:v>
      </x:c>
      <x:c r="D13" s="14" t="str">
        <x:v>Routing</x:v>
      </x:c>
      <x:c r="E13" s="14" t="str">
        <x:v>WEB-1</x:v>
      </x:c>
      <x:c r="F13" s="14" t="str">
        <x:v>WEB-2</x:v>
      </x:c>
      <x:c r="G13" s="14" t="str">
        <x:v>public-layout</x:v>
      </x:c>
      <x:c r="H13" s="14" t="str">
        <x:v>INFRA</x:v>
      </x:c>
      <x:c r="I13" s="14" t="str">
        <x:v>ALTA</x:v>
      </x:c>
      <x:c r="J13" s="14" t="str">
        <x:v>PENDIENTE</x:v>
      </x:c>
      <x:c r="K13" s="14" t="str">
        <x:v>IMP-WEB-0003, IMP-WEB-0005</x:v>
      </x:c>
      <x:c r="L13" s="14" t="str">
        <x:v>Public Web Final V3</x:v>
      </x:c>
      <x:c r="M13" s="14" t="str">
        <x:v>17:2</x:v>
      </x:c>
      <x:c r="N13" s="14" t="str">
        <x:v>/</x:v>
      </x:c>
      <x:c r="O13" s="14" t="str">
        <x:v>Crear PublicLayout técnico</x:v>
      </x:c>
      <x:c r="P13" s="14" t="str">
        <x:v>Header-area, main y footer-area semánticos; tokens; sin navegación final.</x:v>
      </x:c>
      <x:c r="Q13" s="14" t="str">
        <x:v>Layout reusable; landmarks correctos; smoke page sin UI final ni controles muertos.</x:v>
      </x:c>
      <x:c r="R13" s="14" t="str">
        <x:v>0003/0005 COMPLETADAS.</x:v>
      </x:c>
      <x:c r="S13" s="14" t="str">
        <x:v>Build + revisión DOM.</x:v>
      </x:c>
      <x:c r="T13" s="14" t="str">
        <x:v>build + smoke</x:v>
      </x:c>
      <x:c r="U13" s="14" t="str">
        <x:v>src/app/(public)/layout.tsx</x:v>
      </x:c>
      <x:c r="V13" s="14" t="str">
        <x:v>chore/web-sprint-0</x:v>
      </x:c>
      <x:c r="W13" s="14" t="str"/>
      <x:c r="X13" s="14" t="str"/>
      <x:c r="Y13" s="14" t="str"/>
      <x:c r="Z13" s="14" t="str"/>
    </x:row>
    <x:row r="14" ht="84" customHeight="1">
      <x:c r="A14" s="14" t="str">
        <x:v>IMP-WEB-0013</x:v>
      </x:c>
      <x:c r="B14" s="14" t="str">
        <x:v>S0 Foundation</x:v>
      </x:c>
      <x:c r="C14" s="14" t="str">
        <x:v>WEB</x:v>
      </x:c>
      <x:c r="D14" s="14" t="str">
        <x:v>Routing</x:v>
      </x:c>
      <x:c r="E14" s="14" t="str">
        <x:v>WEB-3</x:v>
      </x:c>
      <x:c r="F14" s="14" t="str">
        <x:v>WEB-2</x:v>
      </x:c>
      <x:c r="G14" s="14" t="str">
        <x:v>private-layout</x:v>
      </x:c>
      <x:c r="H14" s="14" t="str">
        <x:v>INFRA</x:v>
      </x:c>
      <x:c r="I14" s="14" t="str">
        <x:v>ALTA</x:v>
      </x:c>
      <x:c r="J14" s="14" t="str">
        <x:v>PENDIENTE</x:v>
      </x:c>
      <x:c r="K14" s="14" t="str">
        <x:v>IMP-WEB-0003, IMP-WEB-0005</x:v>
      </x:c>
      <x:c r="L14" s="14" t="str">
        <x:v>Private Web implementation source</x:v>
      </x:c>
      <x:c r="M14" s="14" t="str"/>
      <x:c r="N14" s="14" t="str">
        <x:v>/dashboard</x:v>
      </x:c>
      <x:c r="O14" s="14" t="str">
        <x:v>Crear PrivateLayout técnico</x:v>
      </x:c>
      <x:c r="P14" s="14" t="str">
        <x:v>Sidebar-area, header-area y main; tokens; sin menú real, roles ni auth.</x:v>
      </x:c>
      <x:c r="Q14" s="14" t="str">
        <x:v>Shell reusable; /dashboard smoke; 0 navegación cross-role.</x:v>
      </x:c>
      <x:c r="R14" s="14" t="str">
        <x:v>0003/0005 COMPLETADAS.</x:v>
      </x:c>
      <x:c r="S14" s="14" t="str">
        <x:v>Build + revisión DOM.</x:v>
      </x:c>
      <x:c r="T14" s="14" t="str">
        <x:v>build + smoke</x:v>
      </x:c>
      <x:c r="U14" s="14" t="str">
        <x:v>src/app/(private)/layout.tsx</x:v>
      </x:c>
      <x:c r="V14" s="14" t="str">
        <x:v>chore/web-sprint-0</x:v>
      </x:c>
      <x:c r="W14" s="14" t="str"/>
      <x:c r="X14" s="14" t="str"/>
      <x:c r="Y14" s="14" t="str"/>
      <x:c r="Z14" s="14" t="str"/>
    </x:row>
    <x:row r="15" ht="84" customHeight="1">
      <x:c r="A15" s="14" t="str">
        <x:v>IMP-WEB-0014</x:v>
      </x:c>
      <x:c r="B15" s="14" t="str">
        <x:v>S0 Foundation</x:v>
      </x:c>
      <x:c r="C15" s="14" t="str">
        <x:v>WEB</x:v>
      </x:c>
      <x:c r="D15" s="14" t="str">
        <x:v>CI</x:v>
      </x:c>
      <x:c r="E15" s="14" t="str">
        <x:v>WEB-4</x:v>
      </x:c>
      <x:c r="F15" s="14" t="str">
        <x:v>WEB-1</x:v>
      </x:c>
      <x:c r="G15" s="14" t="str">
        <x:v>github-actions</x:v>
      </x:c>
      <x:c r="H15" s="14" t="str">
        <x:v>INFRA</x:v>
      </x:c>
      <x:c r="I15" s="14" t="str">
        <x:v>CRÍTICA</x:v>
      </x:c>
      <x:c r="J15" s="14" t="str">
        <x:v>PENDIENTE</x:v>
      </x:c>
      <x:c r="K15" s="14" t="str">
        <x:v>IMP-WEB-0010, IMP-WEB-0011</x:v>
      </x:c>
      <x:c r="L15" s="14" t="str">
        <x:v>Monorepo workflow</x:v>
      </x:c>
      <x:c r="M15" s="14" t="str"/>
      <x:c r="N15" s="14" t="str">
        <x:v>N/A</x:v>
      </x:c>
      <x:c r="O15" s="14" t="str">
        <x:v>Crear CI Web</x:v>
      </x:c>
      <x:c r="P15" s="14" t="str">
        <x:v>Crear .github/workflows/web-ci.yml en root; working-directory Web; npm ci, lint, typecheck, test, build.</x:v>
      </x:c>
      <x:c r="Q15" s="14" t="str">
        <x:v>Workflow válido; no .github dentro de Web; falla si un check falla.</x:v>
      </x:c>
      <x:c r="R15" s="14" t="str">
        <x:v>Testing/lint listos.</x:v>
      </x:c>
      <x:c r="S15" s="14" t="str">
        <x:v>Ejecución local equivalente PASS.</x:v>
      </x:c>
      <x:c r="T15" s="14" t="str">
        <x:v>npm ci + lint + typecheck + test + build</x:v>
      </x:c>
      <x:c r="U15" s="14" t="str">
        <x:v>.github/workflows/web-ci.yml</x:v>
      </x:c>
      <x:c r="V15" s="14" t="str">
        <x:v>chore/web-sprint-0</x:v>
      </x:c>
      <x:c r="W15" s="14" t="str"/>
      <x:c r="X15" s="14" t="str"/>
      <x:c r="Y15" s="14" t="str"/>
      <x:c r="Z15" s="14" t="str"/>
    </x:row>
    <x:row r="16" ht="84" customHeight="1">
      <x:c r="A16" s="14" t="str">
        <x:v>IMP-WEB-0015</x:v>
      </x:c>
      <x:c r="B16" s="14" t="str">
        <x:v>S0 Foundation</x:v>
      </x:c>
      <x:c r="C16" s="14" t="str">
        <x:v>WEB</x:v>
      </x:c>
      <x:c r="D16" s="14" t="str">
        <x:v>Calidad</x:v>
      </x:c>
      <x:c r="E16" s="14" t="str">
        <x:v>WEB-4</x:v>
      </x:c>
      <x:c r="F16" s="14" t="str">
        <x:v>WEB-2</x:v>
      </x:c>
      <x:c r="G16" s="14" t="str">
        <x:v>package-scripts</x:v>
      </x:c>
      <x:c r="H16" s="14" t="str">
        <x:v>INFRA</x:v>
      </x:c>
      <x:c r="I16" s="14" t="str">
        <x:v>ALTA</x:v>
      </x:c>
      <x:c r="J16" s="14" t="str">
        <x:v>PENDIENTE</x:v>
      </x:c>
      <x:c r="K16" s="14" t="str">
        <x:v>IMP-WEB-0010, IMP-WEB-0011</x:v>
      </x:c>
      <x:c r="L16" s="14" t="str">
        <x:v>Web DoD</x:v>
      </x:c>
      <x:c r="M16" s="14" t="str"/>
      <x:c r="N16" s="14" t="str">
        <x:v>N/A</x:v>
      </x:c>
      <x:c r="O16" s="14" t="str">
        <x:v>Definir scripts npm estándar y check</x:v>
      </x:c>
      <x:c r="P16" s="14" t="str">
        <x:v>Agregar dev/build/start/lint/typecheck/test/test:watch/check; check=lint+typecheck+test+build; no e2e.</x:v>
      </x:c>
      <x:c r="Q16" s="14" t="str">
        <x:v>npm run check PASS; no Playwright.</x:v>
      </x:c>
      <x:c r="R16" s="14" t="str">
        <x:v>0010/0011 COMPLETADAS.</x:v>
      </x:c>
      <x:c r="S16" s="14" t="str">
        <x:v>check PASS.</x:v>
      </x:c>
      <x:c r="T16" s="14" t="str">
        <x:v>npm run check</x:v>
      </x:c>
      <x:c r="U16" s="14" t="str">
        <x:v>package.json</x:v>
      </x:c>
      <x:c r="V16" s="14" t="str">
        <x:v>chore/web-sprint-0</x:v>
      </x:c>
      <x:c r="W16" s="14" t="str"/>
      <x:c r="X16" s="14" t="str"/>
      <x:c r="Y16" s="14" t="str"/>
      <x:c r="Z16" s="14" t="str"/>
    </x:row>
    <x:row r="17" ht="84" customHeight="1">
      <x:c r="A17" s="14" t="str">
        <x:v>IMP-WEB-0016</x:v>
      </x:c>
      <x:c r="B17" s="14" t="str">
        <x:v>S0 Foundation</x:v>
      </x:c>
      <x:c r="C17" s="14" t="str">
        <x:v>WEB</x:v>
      </x:c>
      <x:c r="D17" s="14" t="str">
        <x:v>Documentación</x:v>
      </x:c>
      <x:c r="E17" s="14" t="str">
        <x:v>WEB-2</x:v>
      </x:c>
      <x:c r="F17" s="14" t="str">
        <x:v>WEB-3</x:v>
      </x:c>
      <x:c r="G17" s="14" t="str">
        <x:v>docs</x:v>
      </x:c>
      <x:c r="H17" s="14" t="str">
        <x:v>DOC</x:v>
      </x:c>
      <x:c r="I17" s="14" t="str">
        <x:v>ALTA</x:v>
      </x:c>
      <x:c r="J17" s="14" t="str">
        <x:v>PENDIENTE</x:v>
      </x:c>
      <x:c r="K17" s="14" t="str">
        <x:v>IMP-WEB-0001, IMP-WEB-0002, IMP-WEB-0003, IMP-WEB-0004, IMP-WEB-0005, IMP-WEB-0006, IMP-WEB-0007, IMP-WEB-0008, IMP-WEB-0009, IMP-WEB-0010, IMP-WEB-0011, IMP-WEB-0012, IMP-WEB-0013, IMP-WEB-0014, IMP-WEB-0015</x:v>
      </x:c>
      <x:c r="L17" s="14" t="str">
        <x:v>Docs V2 + token foundation</x:v>
      </x:c>
      <x:c r="M17" s="14" t="str"/>
      <x:c r="N17" s="14" t="str">
        <x:v>N/A</x:v>
      </x:c>
      <x:c r="O17" s="14" t="str">
        <x:v>Actualizar ADR y README con configuración real</x:v>
      </x:c>
      <x:c r="P17" s="14" t="str">
        <x:v>Verificar y sincronizar la documentación con la implementación real de IMP-WEB-0001 a IMP-WEB-0015. Registrar npm, Next.js/App Router, Route Groups, fetch, TanStack Query, MSW, Vitest/Testing Library, Playwright diferido, boundaries, DomainMappingError, design tokens, DoR de infraestructura y Node IDs solo como trazabilidad. No reescribir documentos no relacionados.</x:v>
      </x:c>
      <x:c r="Q17" s="14" t="str">
        <x:v>README y ADR/docs describen exactamente lo implementado en 0001-0015; no hay contradicciones; todas las rutas de documentos existen; backlog y documentación usan las mismas decisiones.</x:v>
      </x:c>
      <x:c r="R17" s="14" t="str">
        <x:v>Config técnica implementada.</x:v>
      </x:c>
      <x:c r="S17" s="14" t="str">
        <x:v>Review documental.</x:v>
      </x:c>
      <x:c r="T17" s="14" t="str">
        <x:v>manual review</x:v>
      </x:c>
      <x:c r="U17" s="14" t="str">
        <x:v>docs globales/Web afectados</x:v>
      </x:c>
      <x:c r="V17" s="14" t="str">
        <x:v>chore/web-sprint-0</x:v>
      </x:c>
      <x:c r="W17" s="14" t="str"/>
      <x:c r="X17" s="14" t="str"/>
      <x:c r="Y17" s="14" t="str"/>
      <x:c r="Z17" s="14" t="str"/>
    </x:row>
    <x:row r="18" ht="84" customHeight="1">
      <x:c r="A18" s="14" t="str">
        <x:v>IMP-WEB-0017</x:v>
      </x:c>
      <x:c r="B18" s="14" t="str">
        <x:v>S0 Foundation</x:v>
      </x:c>
      <x:c r="C18" s="14" t="str">
        <x:v>WEB</x:v>
      </x:c>
      <x:c r="D18" s="14" t="str">
        <x:v>QA</x:v>
      </x:c>
      <x:c r="E18" s="14" t="str">
        <x:v>WEB-2</x:v>
      </x:c>
      <x:c r="F18" s="14" t="str">
        <x:v>WEB-1</x:v>
      </x:c>
      <x:c r="G18" s="14" t="str">
        <x:v>foundation</x:v>
      </x:c>
      <x:c r="H18" s="14" t="str">
        <x:v>QA</x:v>
      </x:c>
      <x:c r="I18" s="14" t="str">
        <x:v>CRÍTICA</x:v>
      </x:c>
      <x:c r="J18" s="14" t="str">
        <x:v>PENDIENTE</x:v>
      </x:c>
      <x:c r="K18" s="14" t="str">
        <x:v>IMP-WEB-0001, IMP-WEB-0002, IMP-WEB-0003, IMP-WEB-0004, IMP-WEB-0005, IMP-WEB-0006, IMP-WEB-0007, IMP-WEB-0008, IMP-WEB-0009, IMP-WEB-0010, IMP-WEB-0011, IMP-WEB-0012, IMP-WEB-0013, IMP-WEB-0014, IMP-WEB-0015, IMP-WEB-0016</x:v>
      </x:c>
      <x:c r="L18" s="14" t="str">
        <x:v>V3 — 00 Foundations &amp; Core ADRs</x:v>
      </x:c>
      <x:c r="M18" s="14" t="str"/>
      <x:c r="N18" s="14" t="str">
        <x:v>/ y /dashboard</x:v>
      </x:c>
      <x:c r="O18" s="14" t="str">
        <x:v>Cerrar Sprint 0 Web</x:v>
      </x:c>
      <x:c r="P18" s="14" t="str">
        <x:v>Ejecutar check; validar CI, smoke routes, tokens, Query, MSW, boundaries; confirmar 0 modules/features/shared UI especulativos.</x:v>
      </x:c>
      <x:c r="Q18" s="14" t="str">
        <x:v>npm run check PASS; CI PASS; / y /dashboard PASS; 0 features business; docs sincronizados.</x:v>
      </x:c>
      <x:c r="R18" s="14" t="str">
        <x:v>Todas dependencias COMPLETADAS.</x:v>
      </x:c>
      <x:c r="S18" s="14" t="str">
        <x:v>Global DoD Web PASS; evidencia adjunta.</x:v>
      </x:c>
      <x:c r="T18" s="14" t="str">
        <x:v>npm run check + CI + smoke</x:v>
      </x:c>
      <x:c r="U18" s="14" t="str">
        <x:v>todo S0</x:v>
      </x:c>
      <x:c r="V18" s="14" t="str">
        <x:v>chore/web-sprint-0</x:v>
      </x:c>
      <x:c r="W18" s="14" t="str"/>
      <x:c r="X18" s="14" t="str"/>
      <x:c r="Y18" s="14" t="str"/>
      <x:c r="Z18" s="14" t="str"/>
    </x:row>
    <x:row r="19" ht="84" customHeight="1">
      <x:c r="A19" s="14" t="str">
        <x:v>IMP-WEB-S101</x:v>
      </x:c>
      <x:c r="B19" s="14" t="str">
        <x:v>S1 Public Booking</x:v>
      </x:c>
      <x:c r="C19" s="14" t="str">
        <x:v>WEB</x:v>
      </x:c>
      <x:c r="D19" s="14" t="str">
        <x:v>Shared</x:v>
      </x:c>
      <x:c r="E19" s="14" t="str">
        <x:v>WEB-1</x:v>
      </x:c>
      <x:c r="F19" s="14" t="str">
        <x:v>WEB-2</x:v>
      </x:c>
      <x:c r="G19" s="14" t="str">
        <x:v>shared/components</x:v>
      </x:c>
      <x:c r="H19" s="14" t="str">
        <x:v>SHARED</x:v>
      </x:c>
      <x:c r="I19" s="14" t="str">
        <x:v>ALTA</x:v>
      </x:c>
      <x:c r="J19" s="14" t="str">
        <x:v>PENDIENTE</x:v>
      </x:c>
      <x:c r="K19" s="14" t="str">
        <x:v>IMP-WEB-0017</x:v>
      </x:c>
      <x:c r="L19" s="14" t="str">
        <x:v>Public 01 Booking</x:v>
      </x:c>
      <x:c r="M19" s="14" t="str"/>
      <x:c r="N19" s="14" t="str">
        <x:v>N/A</x:v>
      </x:c>
      <x:c r="O19" s="14" t="str">
        <x:v>Crear Button shared por primer uso</x:v>
      </x:c>
      <x:c r="P19" s="14" t="str">
        <x:v>Extraer solo variantes usadas; tokens; keyboard/focus; disabled/loading si Figma lo usa.</x:v>
      </x:c>
      <x:c r="Q19" s="14" t="str">
        <x:v>Booking usa Button sin duplicar estilos; API mínima; a11y PASS.</x:v>
      </x:c>
      <x:c r="R19" s="14" t="str">
        <x:v>S0 completo; primer uso identificado.</x:v>
      </x:c>
      <x:c r="S19" s="14" t="str">
        <x:v>Tests render/disabled + visual.</x:v>
      </x:c>
      <x:c r="T19" s="14" t="str">
        <x:v>Vitest/RTL</x:v>
      </x:c>
      <x:c r="U19" s="14" t="str">
        <x:v>src/shared/components/button/*</x:v>
      </x:c>
      <x:c r="V19" s="14" t="str">
        <x:v>feature/shared-button</x:v>
      </x:c>
      <x:c r="W19" s="14" t="str"/>
      <x:c r="X19" s="14" t="str"/>
      <x:c r="Y19" s="14" t="str"/>
      <x:c r="Z19" s="14" t="str"/>
    </x:row>
    <x:row r="20" ht="84" customHeight="1">
      <x:c r="A20" s="14" t="str">
        <x:v>IMP-WEB-S102</x:v>
      </x:c>
      <x:c r="B20" s="14" t="str">
        <x:v>S1 Public Booking</x:v>
      </x:c>
      <x:c r="C20" s="14" t="str">
        <x:v>WEB</x:v>
      </x:c>
      <x:c r="D20" s="14" t="str">
        <x:v>Shared</x:v>
      </x:c>
      <x:c r="E20" s="14" t="str">
        <x:v>WEB-1</x:v>
      </x:c>
      <x:c r="F20" s="14" t="str">
        <x:v>WEB-2</x:v>
      </x:c>
      <x:c r="G20" s="14" t="str">
        <x:v>shared/components</x:v>
      </x:c>
      <x:c r="H20" s="14" t="str">
        <x:v>SHARED</x:v>
      </x:c>
      <x:c r="I20" s="14" t="str">
        <x:v>ALTA</x:v>
      </x:c>
      <x:c r="J20" s="14" t="str">
        <x:v>PENDIENTE</x:v>
      </x:c>
      <x:c r="K20" s="14" t="str">
        <x:v>IMP-WEB-0017</x:v>
      </x:c>
      <x:c r="L20" s="14" t="str">
        <x:v>Public 01 Booking</x:v>
      </x:c>
      <x:c r="M20" s="14" t="str"/>
      <x:c r="N20" s="14" t="str">
        <x:v>N/A</x:v>
      </x:c>
      <x:c r="O20" s="14" t="str">
        <x:v>Crear Input shared</x:v>
      </x:c>
      <x:c r="P20" s="14" t="str">
        <x:v>Label/help/error/required/disabled/focus; no validación business interna.</x:v>
      </x:c>
      <x:c r="Q20" s="14" t="str">
        <x:v>Formulario booking no duplica Input; errores accesibles.</x:v>
      </x:c>
      <x:c r="R20" s="14" t="str">
        <x:v>S0 completo.</x:v>
      </x:c>
      <x:c r="S20" s="14" t="str">
        <x:v>RTL + visual.</x:v>
      </x:c>
      <x:c r="T20" s="14" t="str">
        <x:v>Vitest/RTL</x:v>
      </x:c>
      <x:c r="U20" s="14" t="str">
        <x:v>src/shared/components/input/*</x:v>
      </x:c>
      <x:c r="V20" s="14" t="str">
        <x:v>feature/shared-input</x:v>
      </x:c>
      <x:c r="W20" s="14" t="str"/>
      <x:c r="X20" s="14" t="str"/>
      <x:c r="Y20" s="14" t="str"/>
      <x:c r="Z20" s="14" t="str"/>
    </x:row>
    <x:row r="21" ht="84" customHeight="1">
      <x:c r="A21" s="14" t="str">
        <x:v>IMP-WEB-0101</x:v>
      </x:c>
      <x:c r="B21" s="14" t="str">
        <x:v>S1 Public Booking</x:v>
      </x:c>
      <x:c r="C21" s="14" t="str">
        <x:v>WEB</x:v>
      </x:c>
      <x:c r="D21" s="14" t="str">
        <x:v>Público</x:v>
      </x:c>
      <x:c r="E21" s="14" t="str">
        <x:v>WEB-1</x:v>
      </x:c>
      <x:c r="F21" s="14" t="str">
        <x:v>WEB-4</x:v>
      </x:c>
      <x:c r="G21" s="14" t="str">
        <x:v>booking</x:v>
      </x:c>
      <x:c r="H21" s="14" t="str">
        <x:v>FEATURE</x:v>
      </x:c>
      <x:c r="I21" s="14" t="str">
        <x:v>CRÍTICA</x:v>
      </x:c>
      <x:c r="J21" s="14" t="str">
        <x:v>PENDIENTE</x:v>
      </x:c>
      <x:c r="K21" s="14" t="str">
        <x:v>IMP-WEB-0017, IMP-WEB-S101, IMP-WEB-S102</x:v>
      </x:c>
      <x:c r="L21" s="14" t="str">
        <x:v>Public 01 Booking</x:v>
      </x:c>
      <x:c r="M21" s="14" t="str">
        <x:v>17:2</x:v>
      </x:c>
      <x:c r="N21" s="14" t="str">
        <x:v>/</x:v>
      </x:c>
      <x:c r="O21" s="14" t="str">
        <x:v>Implementar búsqueda pública</x:v>
      </x:c>
      <x:c r="P21" s="14" t="str">
        <x:v>Fechas, ocupación, habitaciones; validación de forma; submit vía hook/service; no fetch UI.</x:v>
      </x:c>
      <x:c r="Q21" s="14" t="str">
        <x:v>Rango/ocupación válidos; errores accesibles; submit no fetch directo; criterios preservados.</x:v>
      </x:c>
      <x:c r="R21" s="14" t="str">
        <x:v>DTO search provisional + API availability acordada.</x:v>
      </x:c>
      <x:c r="S21" s="14" t="str">
        <x:v>Global DoD; mapper/service/hook si hay red.</x:v>
      </x:c>
      <x:c r="T21" s="14" t="str">
        <x:v>Vitest/RTL + visual</x:v>
      </x:c>
      <x:c r="U21" s="14" t="str">
        <x:v>src/modules/booking/*; public page</x:v>
      </x:c>
      <x:c r="V21" s="14" t="str">
        <x:v>feature/booking-search</x:v>
      </x:c>
      <x:c r="W21" s="14" t="str"/>
      <x:c r="X21" s="14" t="str"/>
      <x:c r="Y21" s="14" t="str"/>
      <x:c r="Z21" s="14" t="str"/>
    </x:row>
    <x:row r="22" ht="84" customHeight="1">
      <x:c r="A22" s="14" t="str">
        <x:v>IMP-WEB-0102</x:v>
      </x:c>
      <x:c r="B22" s="14" t="str">
        <x:v>S1 Public Booking</x:v>
      </x:c>
      <x:c r="C22" s="14" t="str">
        <x:v>WEB</x:v>
      </x:c>
      <x:c r="D22" s="14" t="str">
        <x:v>Público</x:v>
      </x:c>
      <x:c r="E22" s="14" t="str">
        <x:v>WEB-4</x:v>
      </x:c>
      <x:c r="F22" s="14" t="str">
        <x:v>WEB-1</x:v>
      </x:c>
      <x:c r="G22" s="14" t="str">
        <x:v>availability</x:v>
      </x:c>
      <x:c r="H22" s="14" t="str">
        <x:v>FEATURE</x:v>
      </x:c>
      <x:c r="I22" s="14" t="str">
        <x:v>CRÍTICA</x:v>
      </x:c>
      <x:c r="J22" s="14" t="str">
        <x:v>PENDIENTE</x:v>
      </x:c>
      <x:c r="K22" s="14" t="str">
        <x:v>IMP-WEB-0101</x:v>
      </x:c>
      <x:c r="L22" s="14" t="str">
        <x:v>Public 01 Booking + Availability</x:v>
      </x:c>
      <x:c r="M22" s="14" t="str"/>
      <x:c r="N22" s="14" t="str">
        <x:v>/habitaciones</x:v>
      </x:c>
      <x:c r="O22" s="14" t="str">
        <x:v>Crear contrato/service/mapper de disponibilidad</x:v>
      </x:c>
      <x:c r="P22" s="14" t="str">
        <x:v>DTO provisional; service fetch; mapper AvailabilityOption; MSW success/empty/error/delay.</x:v>
      </x:c>
      <x:c r="Q22" s="14" t="str">
        <x:v>Service retorna DTO; Domain limpio con ATS/amount/currency; invalid required -&gt; DomainMappingError.</x:v>
      </x:c>
      <x:c r="R22" s="14" t="str">
        <x:v>Search criteria definidos.</x:v>
      </x:c>
      <x:c r="S22" s="14" t="str">
        <x:v>Mapper/service tests.</x:v>
      </x:c>
      <x:c r="T22" s="14" t="str">
        <x:v>Vitest</x:v>
      </x:c>
      <x:c r="U22" s="14" t="str">
        <x:v>src/modules/availability/*; mocks</x:v>
      </x:c>
      <x:c r="V22" s="14" t="str">
        <x:v>feature/availability-public-contract</x:v>
      </x:c>
      <x:c r="W22" s="14" t="str"/>
      <x:c r="X22" s="14" t="str"/>
      <x:c r="Y22" s="14" t="str"/>
      <x:c r="Z22" s="14" t="str"/>
    </x:row>
    <x:row r="23" ht="84" customHeight="1">
      <x:c r="A23" s="14" t="str">
        <x:v>IMP-WEB-0103</x:v>
      </x:c>
      <x:c r="B23" s="14" t="str">
        <x:v>S1 Public Booking</x:v>
      </x:c>
      <x:c r="C23" s="14" t="str">
        <x:v>WEB</x:v>
      </x:c>
      <x:c r="D23" s="14" t="str">
        <x:v>Público</x:v>
      </x:c>
      <x:c r="E23" s="14" t="str">
        <x:v>WEB-1</x:v>
      </x:c>
      <x:c r="F23" s="14" t="str">
        <x:v>WEB-4</x:v>
      </x:c>
      <x:c r="G23" s="14" t="str">
        <x:v>booking</x:v>
      </x:c>
      <x:c r="H23" s="14" t="str">
        <x:v>FEATURE</x:v>
      </x:c>
      <x:c r="I23" s="14" t="str">
        <x:v>CRÍTICA</x:v>
      </x:c>
      <x:c r="J23" s="14" t="str">
        <x:v>PENDIENTE</x:v>
      </x:c>
      <x:c r="K23" s="14" t="str">
        <x:v>IMP-WEB-0102</x:v>
      </x:c>
      <x:c r="L23" s="14" t="str">
        <x:v>Public 01 Booking</x:v>
      </x:c>
      <x:c r="M23" s="14" t="str"/>
      <x:c r="N23" s="14" t="str">
        <x:v>/habitaciones</x:v>
      </x:c>
      <x:c r="O23" s="14" t="str">
        <x:v>Implementar resultados de disponibilidad</x:v>
      </x:c>
      <x:c r="P23" s="14" t="str">
        <x:v>Cards de room types; loading/error/empty; precio/condiciones; selection a detalle.</x:v>
      </x:c>
      <x:c r="Q23" s="14" t="str">
        <x:v>0 DTO UI; ATS 0 no se presenta disponible; selección conserva búsqueda; states completos.</x:v>
      </x:c>
      <x:c r="R23" s="14" t="str">
        <x:v>0102 COMPLETADA.</x:v>
      </x:c>
      <x:c r="S23" s="14" t="str">
        <x:v>RTL states + visual.</x:v>
      </x:c>
      <x:c r="T23" s="14" t="str">
        <x:v>Vitest/RTL</x:v>
      </x:c>
      <x:c r="U23" s="14" t="str">
        <x:v>route /habitaciones; booking components</x:v>
      </x:c>
      <x:c r="V23" s="14" t="str">
        <x:v>feature/availability-results</x:v>
      </x:c>
      <x:c r="W23" s="14" t="str"/>
      <x:c r="X23" s="14" t="str"/>
      <x:c r="Y23" s="14" t="str"/>
      <x:c r="Z23" s="14" t="str"/>
    </x:row>
    <x:row r="24" ht="84" customHeight="1">
      <x:c r="A24" s="14" t="str">
        <x:v>IMP-WEB-0104</x:v>
      </x:c>
      <x:c r="B24" s="14" t="str">
        <x:v>S1 Public Booking</x:v>
      </x:c>
      <x:c r="C24" s="14" t="str">
        <x:v>WEB</x:v>
      </x:c>
      <x:c r="D24" s="14" t="str">
        <x:v>Público</x:v>
      </x:c>
      <x:c r="E24" s="14" t="str">
        <x:v>WEB-1</x:v>
      </x:c>
      <x:c r="F24" s="14" t="str">
        <x:v>WEB-4</x:v>
      </x:c>
      <x:c r="G24" s="14" t="str">
        <x:v>rooms</x:v>
      </x:c>
      <x:c r="H24" s="14" t="str">
        <x:v>FEATURE</x:v>
      </x:c>
      <x:c r="I24" s="14" t="str">
        <x:v>ALTA</x:v>
      </x:c>
      <x:c r="J24" s="14" t="str">
        <x:v>PENDIENTE</x:v>
      </x:c>
      <x:c r="K24" s="14" t="str">
        <x:v>IMP-WEB-0103</x:v>
      </x:c>
      <x:c r="L24" s="14" t="str">
        <x:v>Public 01 Booking</x:v>
      </x:c>
      <x:c r="M24" s="14" t="str"/>
      <x:c r="N24" s="14" t="str">
        <x:v>/habitaciones/[roomTypeId]</x:v>
      </x:c>
      <x:c r="O24" s="14" t="str">
        <x:v>Implementar detalle de RoomType</x:v>
      </x:c>
      <x:c r="P24" s="14" t="str">
        <x:v>Galería/datos/amenities/policy/precio; CTA selección; no Room físico.</x:v>
      </x:c>
      <x:c r="Q24" s="14" t="str">
        <x:v>Route usa roomTypeId; no expone roomId; CTA preserva búsqueda.</x:v>
      </x:c>
      <x:c r="R24" s="14" t="str">
        <x:v>RoomType contract listo.</x:v>
      </x:c>
      <x:c r="S24" s="14" t="str">
        <x:v>RTL + visual.</x:v>
      </x:c>
      <x:c r="T24" s="14" t="str">
        <x:v>Vitest/RTL</x:v>
      </x:c>
      <x:c r="U24" s="14" t="str">
        <x:v>src/modules/rooms/*; route detail</x:v>
      </x:c>
      <x:c r="V24" s="14" t="str">
        <x:v>feature/public-room-detail</x:v>
      </x:c>
      <x:c r="W24" s="14" t="str"/>
      <x:c r="X24" s="14" t="str"/>
      <x:c r="Y24" s="14" t="str"/>
      <x:c r="Z24" s="14" t="str"/>
    </x:row>
    <x:row r="25" ht="84" customHeight="1">
      <x:c r="A25" s="14" t="str">
        <x:v>IMP-WEB-0105</x:v>
      </x:c>
      <x:c r="B25" s="14" t="str">
        <x:v>S1 Public Booking</x:v>
      </x:c>
      <x:c r="C25" s="14" t="str">
        <x:v>WEB</x:v>
      </x:c>
      <x:c r="D25" s="14" t="str">
        <x:v>Público</x:v>
      </x:c>
      <x:c r="E25" s="14" t="str">
        <x:v>WEB-1</x:v>
      </x:c>
      <x:c r="F25" s="14" t="str">
        <x:v>WEB-4</x:v>
      </x:c>
      <x:c r="G25" s="14" t="str">
        <x:v>booking</x:v>
      </x:c>
      <x:c r="H25" s="14" t="str">
        <x:v>FEATURE</x:v>
      </x:c>
      <x:c r="I25" s="14" t="str">
        <x:v>CRÍTICA</x:v>
      </x:c>
      <x:c r="J25" s="14" t="str">
        <x:v>PENDIENTE</x:v>
      </x:c>
      <x:c r="K25" s="14" t="str">
        <x:v>IMP-WEB-0104</x:v>
      </x:c>
      <x:c r="L25" s="14" t="str">
        <x:v>Public 03 Multi-room</x:v>
      </x:c>
      <x:c r="M25" s="14" t="str"/>
      <x:c r="N25" s="14" t="str">
        <x:v>/reserva</x:v>
      </x:c>
      <x:c r="O25" s="14" t="str">
        <x:v>Implementar carrito multi-room</x:v>
      </x:c>
      <x:c r="P25" s="14" t="str">
        <x:v>N selections como futuras ReservationStay; add/remove/edit; totals.</x:v>
      </x:c>
      <x:c r="Q25" s="14" t="str">
        <x:v>Una Reservation draft con N stays; no una Reservation por habitación; total correcto.</x:v>
      </x:c>
      <x:c r="R25" s="14" t="str">
        <x:v>BookingDraft Domain listo.</x:v>
      </x:c>
      <x:c r="S25" s="14" t="str">
        <x:v>Unit totals + RTL.</x:v>
      </x:c>
      <x:c r="T25" s="14" t="str">
        <x:v>Vitest/RTL</x:v>
      </x:c>
      <x:c r="U25" s="14" t="str">
        <x:v>booking cart/model</x:v>
      </x:c>
      <x:c r="V25" s="14" t="str">
        <x:v>feature/multi-room-cart</x:v>
      </x:c>
      <x:c r="W25" s="14" t="str"/>
      <x:c r="X25" s="14" t="str"/>
      <x:c r="Y25" s="14" t="str"/>
      <x:c r="Z25" s="14" t="str"/>
    </x:row>
    <x:row r="26" ht="84" customHeight="1">
      <x:c r="A26" s="14" t="str">
        <x:v>IMP-WEB-0106</x:v>
      </x:c>
      <x:c r="B26" s="14" t="str">
        <x:v>S1 Public Booking</x:v>
      </x:c>
      <x:c r="C26" s="14" t="str">
        <x:v>WEB</x:v>
      </x:c>
      <x:c r="D26" s="14" t="str">
        <x:v>Público</x:v>
      </x:c>
      <x:c r="E26" s="14" t="str">
        <x:v>WEB-1</x:v>
      </x:c>
      <x:c r="F26" s="14" t="str">
        <x:v>WEB-3</x:v>
      </x:c>
      <x:c r="G26" s="14" t="str">
        <x:v>booking</x:v>
      </x:c>
      <x:c r="H26" s="14" t="str">
        <x:v>FEATURE</x:v>
      </x:c>
      <x:c r="I26" s="14" t="str">
        <x:v>ALTA</x:v>
      </x:c>
      <x:c r="J26" s="14" t="str">
        <x:v>PENDIENTE</x:v>
      </x:c>
      <x:c r="K26" s="14" t="str">
        <x:v>IMP-WEB-0105</x:v>
      </x:c>
      <x:c r="L26" s="14" t="str">
        <x:v>Public 03 Multi-room</x:v>
      </x:c>
      <x:c r="M26" s="14" t="str"/>
      <x:c r="N26" s="14" t="str">
        <x:v>/reserva</x:v>
      </x:c>
      <x:c r="O26" s="14" t="str">
        <x:v>Implementar ocupantes por Stay</x:v>
      </x:c>
      <x:c r="P26" s="14" t="str">
        <x:v>Asignar occupants por stay; booking guest distinto; validar capacity recibida.</x:v>
      </x:c>
      <x:c r="Q26" s="14" t="str">
        <x:v>Occupants no se copian obligatoriamente; capacity violation visible.</x:v>
      </x:c>
      <x:c r="R26" s="14" t="str">
        <x:v>StaySelection constraints listas.</x:v>
      </x:c>
      <x:c r="S26" s="14" t="str">
        <x:v>Unit/RTL.</x:v>
      </x:c>
      <x:c r="T26" s="14" t="str">
        <x:v>Vitest/RTL</x:v>
      </x:c>
      <x:c r="U26" s="14" t="str">
        <x:v>booking occupants components</x:v>
      </x:c>
      <x:c r="V26" s="14" t="str">
        <x:v>feature/multi-room-occupants</x:v>
      </x:c>
      <x:c r="W26" s="14" t="str"/>
      <x:c r="X26" s="14" t="str"/>
      <x:c r="Y26" s="14" t="str"/>
      <x:c r="Z26" s="14" t="str"/>
    </x:row>
    <x:row r="27" ht="84" customHeight="1">
      <x:c r="A27" s="14" t="str">
        <x:v>IMP-WEB-0107</x:v>
      </x:c>
      <x:c r="B27" s="14" t="str">
        <x:v>S1 Public Booking</x:v>
      </x:c>
      <x:c r="C27" s="14" t="str">
        <x:v>WEB</x:v>
      </x:c>
      <x:c r="D27" s="14" t="str">
        <x:v>Público</x:v>
      </x:c>
      <x:c r="E27" s="14" t="str">
        <x:v>WEB-1</x:v>
      </x:c>
      <x:c r="F27" s="14" t="str">
        <x:v>WEB-2</x:v>
      </x:c>
      <x:c r="G27" s="14" t="str">
        <x:v>checkout</x:v>
      </x:c>
      <x:c r="H27" s="14" t="str">
        <x:v>FEATURE</x:v>
      </x:c>
      <x:c r="I27" s="14" t="str">
        <x:v>CRÍTICA</x:v>
      </x:c>
      <x:c r="J27" s="14" t="str">
        <x:v>PENDIENTE</x:v>
      </x:c>
      <x:c r="K27" s="14" t="str">
        <x:v>IMP-WEB-0106</x:v>
      </x:c>
      <x:c r="L27" s="14" t="str">
        <x:v>Public 04 Checkout</x:v>
      </x:c>
      <x:c r="M27" s="14" t="str"/>
      <x:c r="N27" s="14" t="str">
        <x:v>/reserva/checkout</x:v>
      </x:c>
      <x:c r="O27" s="14" t="str">
        <x:v>Implementar datos del booking guest</x:v>
      </x:c>
      <x:c r="P27" s="14" t="str">
        <x:v>Guest checkout; formulario identidad/contacto; login opcional; no crear account automáticamente.</x:v>
      </x:c>
      <x:c r="Q27" s="14" t="str">
        <x:v>Puede continuar sin cuenta; GuestInput Domain; Staff separado.</x:v>
      </x:c>
      <x:c r="R27" s="14" t="str">
        <x:v>Create booking contract provisional.</x:v>
      </x:c>
      <x:c r="S27" s="14" t="str">
        <x:v>RTL form+a11y.</x:v>
      </x:c>
      <x:c r="T27" s="14" t="str">
        <x:v>Vitest/RTL</x:v>
      </x:c>
      <x:c r="U27" s="14" t="str">
        <x:v>src/modules/checkout/*</x:v>
      </x:c>
      <x:c r="V27" s="14" t="str">
        <x:v>feature/guest-checkout-data</x:v>
      </x:c>
      <x:c r="W27" s="14" t="str"/>
      <x:c r="X27" s="14" t="str"/>
      <x:c r="Y27" s="14" t="str"/>
      <x:c r="Z27" s="14" t="str"/>
    </x:row>
    <x:row r="28" ht="84" customHeight="1">
      <x:c r="A28" s="14" t="str">
        <x:v>IMP-WEB-0108</x:v>
      </x:c>
      <x:c r="B28" s="14" t="str">
        <x:v>S1 Public Booking</x:v>
      </x:c>
      <x:c r="C28" s="14" t="str">
        <x:v>WEB</x:v>
      </x:c>
      <x:c r="D28" s="14" t="str">
        <x:v>Público</x:v>
      </x:c>
      <x:c r="E28" s="14" t="str">
        <x:v>WEB-2</x:v>
      </x:c>
      <x:c r="F28" s="14" t="str">
        <x:v>WEB-1</x:v>
      </x:c>
      <x:c r="G28" s="14" t="str">
        <x:v>auth</x:v>
      </x:c>
      <x:c r="H28" s="14" t="str">
        <x:v>FEATURE</x:v>
      </x:c>
      <x:c r="I28" s="14" t="str">
        <x:v>ALTA</x:v>
      </x:c>
      <x:c r="J28" s="14" t="str">
        <x:v>PENDIENTE</x:v>
      </x:c>
      <x:c r="K28" s="14" t="str">
        <x:v>IMP-WEB-0107</x:v>
      </x:c>
      <x:c r="L28" s="14" t="str">
        <x:v>Public 02 Identidad</x:v>
      </x:c>
      <x:c r="M28" s="14" t="str"/>
      <x:c r="N28" s="14" t="str">
        <x:v>/acceso</x:v>
      </x:c>
      <x:c r="O28" s="14" t="str">
        <x:v>Implementar acceso opcional email/Google</x:v>
      </x:c>
      <x:c r="P28" s="14" t="str">
        <x:v>Continuar invitado, email y Google; preservar draft; sin auth real persistente si backend no existe.</x:v>
      </x:c>
      <x:c r="Q28" s="14" t="str">
        <x:v>Google/email opcionales; no localStorage token; retorno preserva booking.</x:v>
      </x:c>
      <x:c r="R28" s="14" t="str">
        <x:v>Auth mock contract listo.</x:v>
      </x:c>
      <x:c r="S28" s="14" t="str">
        <x:v>RTL branches.</x:v>
      </x:c>
      <x:c r="T28" s="14" t="str">
        <x:v>Vitest/RTL</x:v>
      </x:c>
      <x:c r="U28" s="14" t="str">
        <x:v>src/modules/auth/*; /acceso</x:v>
      </x:c>
      <x:c r="V28" s="14" t="str">
        <x:v>feature/guest-auth-optional</x:v>
      </x:c>
      <x:c r="W28" s="14" t="str"/>
      <x:c r="X28" s="14" t="str"/>
      <x:c r="Y28" s="14" t="str"/>
      <x:c r="Z28" s="14" t="str"/>
    </x:row>
    <x:row r="29" ht="84" customHeight="1">
      <x:c r="A29" s="14" t="str">
        <x:v>IMP-WEB-0109</x:v>
      </x:c>
      <x:c r="B29" s="14" t="str">
        <x:v>S1 Public Booking</x:v>
      </x:c>
      <x:c r="C29" s="14" t="str">
        <x:v>WEB</x:v>
      </x:c>
      <x:c r="D29" s="14" t="str">
        <x:v>Público</x:v>
      </x:c>
      <x:c r="E29" s="14" t="str">
        <x:v>WEB-4</x:v>
      </x:c>
      <x:c r="F29" s="14" t="str">
        <x:v>WEB-1</x:v>
      </x:c>
      <x:c r="G29" s="14" t="str">
        <x:v>payments</x:v>
      </x:c>
      <x:c r="H29" s="14" t="str">
        <x:v>FEATURE</x:v>
      </x:c>
      <x:c r="I29" s="14" t="str">
        <x:v>CRÍTICA</x:v>
      </x:c>
      <x:c r="J29" s="14" t="str">
        <x:v>PENDIENTE</x:v>
      </x:c>
      <x:c r="K29" s="14" t="str">
        <x:v>IMP-WEB-0107</x:v>
      </x:c>
      <x:c r="L29" s="14" t="str">
        <x:v>Public 04 Checkout</x:v>
      </x:c>
      <x:c r="M29" s="14" t="str"/>
      <x:c r="N29" s="14" t="str">
        <x:v>/reserva/checkout</x:v>
      </x:c>
      <x:c r="O29" s="14" t="str">
        <x:v>Crear garantía/pago provisional</x:v>
      </x:c>
      <x:c r="P29" s="14" t="str">
        <x:v>Payment/Guarantee DTO, mapper, service; token/provider refs; no PAN/CVV.</x:v>
      </x:c>
      <x:c r="Q29" s="14" t="str">
        <x:v>DTO/Domain sin PAN/CVV; success/failure mock; no secrets.</x:v>
      </x:c>
      <x:c r="R29" s="14" t="str">
        <x:v>Checkout data listo.</x:v>
      </x:c>
      <x:c r="S29" s="14" t="str">
        <x:v>Mapper/service + security review.</x:v>
      </x:c>
      <x:c r="T29" s="14" t="str">
        <x:v>Vitest</x:v>
      </x:c>
      <x:c r="U29" s="14" t="str">
        <x:v>src/modules/payments/*; mocks</x:v>
      </x:c>
      <x:c r="V29" s="14" t="str">
        <x:v>feature/booking-payment-contract</x:v>
      </x:c>
      <x:c r="W29" s="14" t="str"/>
      <x:c r="X29" s="14" t="str"/>
      <x:c r="Y29" s="14" t="str"/>
      <x:c r="Z29" s="14" t="str"/>
    </x:row>
    <x:row r="30" ht="84" customHeight="1">
      <x:c r="A30" s="14" t="str">
        <x:v>IMP-WEB-0110</x:v>
      </x:c>
      <x:c r="B30" s="14" t="str">
        <x:v>S1 Public Booking</x:v>
      </x:c>
      <x:c r="C30" s="14" t="str">
        <x:v>WEB</x:v>
      </x:c>
      <x:c r="D30" s="14" t="str">
        <x:v>Público</x:v>
      </x:c>
      <x:c r="E30" s="14" t="str">
        <x:v>WEB-1</x:v>
      </x:c>
      <x:c r="F30" s="14" t="str">
        <x:v>WEB-4</x:v>
      </x:c>
      <x:c r="G30" s="14" t="str">
        <x:v>checkout</x:v>
      </x:c>
      <x:c r="H30" s="14" t="str">
        <x:v>FEATURE</x:v>
      </x:c>
      <x:c r="I30" s="14" t="str">
        <x:v>CRÍTICA</x:v>
      </x:c>
      <x:c r="J30" s="14" t="str">
        <x:v>PENDIENTE</x:v>
      </x:c>
      <x:c r="K30" s="14" t="str">
        <x:v>IMP-WEB-0109, IMP-WEB-0106</x:v>
      </x:c>
      <x:c r="L30" s="14" t="str">
        <x:v>Public 04 Checkout</x:v>
      </x:c>
      <x:c r="M30" s="14" t="str"/>
      <x:c r="N30" s="14" t="str">
        <x:v>/reserva/checkout</x:v>
      </x:c>
      <x:c r="O30" s="14" t="str">
        <x:v>Integrar review final y revalidación</x:v>
      </x:c>
      <x:c r="P30" s="14" t="str">
        <x:v>Resumen stays/price/policy/payment; revalidate availability/rate antes submit; anti-double-submit.</x:v>
      </x:c>
      <x:c r="Q30" s="14" t="str">
        <x:v>No éxito si revalidación falla; submitting deshabilita; resumen coincide draft.</x:v>
      </x:c>
      <x:c r="R30" s="14" t="str">
        <x:v>Availability/payment contracts listos.</x:v>
      </x:c>
      <x:c r="S30" s="14" t="str">
        <x:v>Hook integration success/conflict.</x:v>
      </x:c>
      <x:c r="T30" s="14" t="str">
        <x:v>Vitest/RTL</x:v>
      </x:c>
      <x:c r="U30" s="14" t="str">
        <x:v>checkout review</x:v>
      </x:c>
      <x:c r="V30" s="14" t="str">
        <x:v>feature/booking-final-review</x:v>
      </x:c>
      <x:c r="W30" s="14" t="str"/>
      <x:c r="X30" s="14" t="str"/>
      <x:c r="Y30" s="14" t="str"/>
      <x:c r="Z30" s="14" t="str"/>
    </x:row>
    <x:row r="31" ht="84" customHeight="1">
      <x:c r="A31" s="14" t="str">
        <x:v>IMP-WEB-0111</x:v>
      </x:c>
      <x:c r="B31" s="14" t="str">
        <x:v>S1 Public Booking</x:v>
      </x:c>
      <x:c r="C31" s="14" t="str">
        <x:v>WEB</x:v>
      </x:c>
      <x:c r="D31" s="14" t="str">
        <x:v>Público</x:v>
      </x:c>
      <x:c r="E31" s="14" t="str">
        <x:v>WEB-3</x:v>
      </x:c>
      <x:c r="F31" s="14" t="str">
        <x:v>WEB-1</x:v>
      </x:c>
      <x:c r="G31" s="14" t="str">
        <x:v>reservations</x:v>
      </x:c>
      <x:c r="H31" s="14" t="str">
        <x:v>FEATURE</x:v>
      </x:c>
      <x:c r="I31" s="14" t="str">
        <x:v>CRÍTICA</x:v>
      </x:c>
      <x:c r="J31" s="14" t="str">
        <x:v>PENDIENTE</x:v>
      </x:c>
      <x:c r="K31" s="14" t="str">
        <x:v>IMP-WEB-0110</x:v>
      </x:c>
      <x:c r="L31" s="14" t="str">
        <x:v>Reservation Engine + confirmation</x:v>
      </x:c>
      <x:c r="M31" s="14" t="str"/>
      <x:c r="N31" s="14" t="str">
        <x:v>/reserva/confirmacion</x:v>
      </x:c>
      <x:c r="O31" s="14" t="str">
        <x:v>Crear contract de Reservation multi-room</x:v>
      </x:c>
      <x:c r="P31" s="14" t="str">
        <x:v>Request una Reservation con stays[]; response Reservation + stay IDs; bookingGuest separado.</x:v>
      </x:c>
      <x:c r="Q31" s="14" t="str">
        <x:v>Mapper conserva stays; no flatten; MSW devuelve business IDs.</x:v>
      </x:c>
      <x:c r="R31" s="14" t="str">
        <x:v>Final review listo.</x:v>
      </x:c>
      <x:c r="S31" s="14" t="str">
        <x:v>Mapper/service.</x:v>
      </x:c>
      <x:c r="T31" s="14" t="str">
        <x:v>Vitest</x:v>
      </x:c>
      <x:c r="U31" s="14" t="str">
        <x:v>src/modules/reservations/*; mocks</x:v>
      </x:c>
      <x:c r="V31" s="14" t="str">
        <x:v>feature/create-reservation-contract</x:v>
      </x:c>
      <x:c r="W31" s="14" t="str"/>
      <x:c r="X31" s="14" t="str"/>
      <x:c r="Y31" s="14" t="str"/>
      <x:c r="Z31" s="14" t="str"/>
    </x:row>
    <x:row r="32" ht="84" customHeight="1">
      <x:c r="A32" s="14" t="str">
        <x:v>IMP-WEB-0112</x:v>
      </x:c>
      <x:c r="B32" s="14" t="str">
        <x:v>S1 Public Booking</x:v>
      </x:c>
      <x:c r="C32" s="14" t="str">
        <x:v>WEB</x:v>
      </x:c>
      <x:c r="D32" s="14" t="str">
        <x:v>Público</x:v>
      </x:c>
      <x:c r="E32" s="14" t="str">
        <x:v>WEB-1</x:v>
      </x:c>
      <x:c r="F32" s="14" t="str">
        <x:v>WEB-3</x:v>
      </x:c>
      <x:c r="G32" s="14" t="str">
        <x:v>checkout</x:v>
      </x:c>
      <x:c r="H32" s="14" t="str">
        <x:v>FEATURE</x:v>
      </x:c>
      <x:c r="I32" s="14" t="str">
        <x:v>CRÍTICA</x:v>
      </x:c>
      <x:c r="J32" s="14" t="str">
        <x:v>PENDIENTE</x:v>
      </x:c>
      <x:c r="K32" s="14" t="str">
        <x:v>IMP-WEB-0111</x:v>
      </x:c>
      <x:c r="L32" s="14" t="str">
        <x:v>Public 04 Confirmation</x:v>
      </x:c>
      <x:c r="M32" s="14" t="str"/>
      <x:c r="N32" s="14" t="str">
        <x:v>/reserva/confirmacion</x:v>
      </x:c>
      <x:c r="O32" s="14" t="str">
        <x:v>Implementar confirmación</x:v>
      </x:c>
      <x:c r="P32" s="14" t="str">
        <x:v>Mostrar reservation id, stays, fechas, total/status; CTA cuenta/continuar; solo tras success.</x:v>
      </x:c>
      <x:c r="Q32" s="14" t="str">
        <x:v>IDs business; multi-room completo; error no navega a éxito.</x:v>
      </x:c>
      <x:c r="R32" s="14" t="str">
        <x:v>0111 COMPLETADA.</x:v>
      </x:c>
      <x:c r="S32" s="14" t="str">
        <x:v>RTL success/failure+visual.</x:v>
      </x:c>
      <x:c r="T32" s="14" t="str">
        <x:v>Vitest/RTL</x:v>
      </x:c>
      <x:c r="U32" s="14" t="str">
        <x:v>confirmation route/components</x:v>
      </x:c>
      <x:c r="V32" s="14" t="str">
        <x:v>feature/booking-confirmation</x:v>
      </x:c>
      <x:c r="W32" s="14" t="str"/>
      <x:c r="X32" s="14" t="str"/>
      <x:c r="Y32" s="14" t="str"/>
      <x:c r="Z32" s="14" t="str"/>
    </x:row>
    <x:row r="33" ht="84" customHeight="1">
      <x:c r="A33" s="14" t="str">
        <x:v>IMP-WEB-0113</x:v>
      </x:c>
      <x:c r="B33" s="14" t="str">
        <x:v>S1 Public Booking</x:v>
      </x:c>
      <x:c r="C33" s="14" t="str">
        <x:v>WEB</x:v>
      </x:c>
      <x:c r="D33" s="14" t="str">
        <x:v>QA</x:v>
      </x:c>
      <x:c r="E33" s="14" t="str">
        <x:v>WEB-1</x:v>
      </x:c>
      <x:c r="F33" s="14" t="str">
        <x:v>WEB-4</x:v>
      </x:c>
      <x:c r="G33" s="14" t="str">
        <x:v>booking</x:v>
      </x:c>
      <x:c r="H33" s="14" t="str">
        <x:v>QA</x:v>
      </x:c>
      <x:c r="I33" s="14" t="str">
        <x:v>CRÍTICA</x:v>
      </x:c>
      <x:c r="J33" s="14" t="str">
        <x:v>PENDIENTE</x:v>
      </x:c>
      <x:c r="K33" s="14" t="str">
        <x:v>IMP-WEB-0101, IMP-WEB-0103, IMP-WEB-0104, IMP-WEB-0105, IMP-WEB-0106, IMP-WEB-0107, IMP-WEB-0110, IMP-WEB-0112</x:v>
      </x:c>
      <x:c r="L33" s="14" t="str">
        <x:v>Public 01/03/04</x:v>
      </x:c>
      <x:c r="M33" s="14" t="str">
        <x:v>17:2</x:v>
      </x:c>
      <x:c r="N33" s="14" t="str">
        <x:v>/ -&gt; /reserva/confirmacion</x:v>
      </x:c>
      <x:c r="O33" s="14" t="str">
        <x:v>QA journey Booking público</x:v>
      </x:c>
      <x:c r="P33" s="14" t="str">
        <x:v>Guest single/multi-room; optional auth; loading/error/empty; revalidation; Figma parity.</x:v>
      </x:c>
      <x:c r="Q33" s="14" t="str">
        <x:v>0 rutas/control muertos; no login obligatorio; no DTO UI; no PAN/CVV; responsive básico.</x:v>
      </x:c>
      <x:c r="R33" s="14" t="str">
        <x:v>Tareas journey completas.</x:v>
      </x:c>
      <x:c r="S33" s="14" t="str">
        <x:v>Global DoD + regression.</x:v>
      </x:c>
      <x:c r="T33" s="14" t="str">
        <x:v>npm run check + manual journey</x:v>
      </x:c>
      <x:c r="U33" s="14" t="str">
        <x:v>Public Booking</x:v>
      </x:c>
      <x:c r="V33" s="14" t="str">
        <x:v>test/public-booking-regression</x:v>
      </x:c>
      <x:c r="W33" s="14" t="str"/>
      <x:c r="X33" s="14" t="str"/>
      <x:c r="Y33" s="14" t="str"/>
      <x:c r="Z33" s="14" t="str"/>
    </x:row>
    <x:row r="34" ht="84" customHeight="1">
      <x:c r="A34" s="14" t="str">
        <x:v>IMP-WEB-0201</x:v>
      </x:c>
      <x:c r="B34" s="14" t="str">
        <x:v>S2 Identity &amp; Account</x:v>
      </x:c>
      <x:c r="C34" s="14" t="str">
        <x:v>WEB</x:v>
      </x:c>
      <x:c r="D34" s="14" t="str">
        <x:v>Público</x:v>
      </x:c>
      <x:c r="E34" s="14" t="str">
        <x:v>WEB-2</x:v>
      </x:c>
      <x:c r="F34" s="14" t="str">
        <x:v>WEB-1</x:v>
      </x:c>
      <x:c r="G34" s="14" t="str">
        <x:v>auth</x:v>
      </x:c>
      <x:c r="H34" s="14" t="str">
        <x:v>FEATURE</x:v>
      </x:c>
      <x:c r="I34" s="14" t="str">
        <x:v>ALTA</x:v>
      </x:c>
      <x:c r="J34" s="14" t="str">
        <x:v>PENDIENTE</x:v>
      </x:c>
      <x:c r="K34" s="14" t="str">
        <x:v>IMP-WEB-0017</x:v>
      </x:c>
      <x:c r="L34" s="14" t="str">
        <x:v>Public 02 Identidad y cuenta</x:v>
      </x:c>
      <x:c r="M34" s="14" t="str"/>
      <x:c r="N34" s="14" t="str">
        <x:v>/acceso</x:v>
      </x:c>
      <x:c r="O34" s="14" t="str">
        <x:v>Crear GuestAccount/ExternalIdentity contracts</x:v>
      </x:c>
      <x:c r="P34" s="14" t="str">
        <x:v>DTO/mapper/service de GuestAccount separado de GuestProfile; Google ExternalIdentity opcional; sin Staff.</x:v>
      </x:c>
      <x:c r="Q34" s="14" t="str">
        <x:v>Account/Profile separados; mapper tests; UI futura no recibe provider JSON.</x:v>
      </x:c>
      <x:c r="R34" s="14" t="str">
        <x:v>S0 completo; auth docs revisadas.</x:v>
      </x:c>
      <x:c r="S34" s="14" t="str">
        <x:v>Mapper/service PASS; no localStorage token.</x:v>
      </x:c>
      <x:c r="T34" s="14" t="str">
        <x:v>Vitest</x:v>
      </x:c>
      <x:c r="U34" s="14" t="str">
        <x:v>src/modules/auth/*</x:v>
      </x:c>
      <x:c r="V34" s="14" t="str">
        <x:v>feature/guest-account-contract</x:v>
      </x:c>
      <x:c r="W34" s="14" t="str"/>
      <x:c r="X34" s="14" t="str"/>
      <x:c r="Y34" s="14" t="str"/>
      <x:c r="Z34" s="14" t="str"/>
    </x:row>
    <x:row r="35" ht="84" customHeight="1">
      <x:c r="A35" s="14" t="str">
        <x:v>IMP-WEB-0202</x:v>
      </x:c>
      <x:c r="B35" s="14" t="str">
        <x:v>S2 Identity &amp; Account</x:v>
      </x:c>
      <x:c r="C35" s="14" t="str">
        <x:v>WEB</x:v>
      </x:c>
      <x:c r="D35" s="14" t="str">
        <x:v>Público</x:v>
      </x:c>
      <x:c r="E35" s="14" t="str">
        <x:v>WEB-2</x:v>
      </x:c>
      <x:c r="F35" s="14" t="str">
        <x:v>WEB-1</x:v>
      </x:c>
      <x:c r="G35" s="14" t="str">
        <x:v>auth</x:v>
      </x:c>
      <x:c r="H35" s="14" t="str">
        <x:v>FEATURE</x:v>
      </x:c>
      <x:c r="I35" s="14" t="str">
        <x:v>ALTA</x:v>
      </x:c>
      <x:c r="J35" s="14" t="str">
        <x:v>PENDIENTE</x:v>
      </x:c>
      <x:c r="K35" s="14" t="str">
        <x:v>IMP-WEB-0201</x:v>
      </x:c>
      <x:c r="L35" s="14" t="str">
        <x:v>Public 02 Identidad y cuenta</x:v>
      </x:c>
      <x:c r="M35" s="14" t="str"/>
      <x:c r="N35" s="14" t="str">
        <x:v>/acceso</x:v>
      </x:c>
      <x:c r="O35" s="14" t="str">
        <x:v>Implementar acceso Guest final</x:v>
      </x:c>
      <x:c r="P35" s="14" t="str">
        <x:v>Email + Google optional + continuar invitado; loading/error; retorno a booking/account.</x:v>
      </x:c>
      <x:c r="Q35" s="14" t="str">
        <x:v>Google no obligatorio; Guest/Staff separados; errores recuperables; Figma parity.</x:v>
      </x:c>
      <x:c r="R35" s="14" t="str">
        <x:v>0201 COMPLETADA.</x:v>
      </x:c>
      <x:c r="S35" s="14" t="str">
        <x:v>RTL+a11y+visual.</x:v>
      </x:c>
      <x:c r="T35" s="14" t="str">
        <x:v>Vitest/RTL</x:v>
      </x:c>
      <x:c r="U35" s="14" t="str">
        <x:v>/acceso; auth components</x:v>
      </x:c>
      <x:c r="V35" s="14" t="str">
        <x:v>feature/guest-access</x:v>
      </x:c>
      <x:c r="W35" s="14" t="str"/>
      <x:c r="X35" s="14" t="str"/>
      <x:c r="Y35" s="14" t="str"/>
      <x:c r="Z35" s="14" t="str"/>
    </x:row>
    <x:row r="36" ht="84" customHeight="1">
      <x:c r="A36" s="14" t="str">
        <x:v>IMP-WEB-0203</x:v>
      </x:c>
      <x:c r="B36" s="14" t="str">
        <x:v>S2 Identity &amp; Account</x:v>
      </x:c>
      <x:c r="C36" s="14" t="str">
        <x:v>WEB</x:v>
      </x:c>
      <x:c r="D36" s="14" t="str">
        <x:v>Público</x:v>
      </x:c>
      <x:c r="E36" s="14" t="str">
        <x:v>WEB-2</x:v>
      </x:c>
      <x:c r="F36" s="14" t="str">
        <x:v>WEB-3</x:v>
      </x:c>
      <x:c r="G36" s="14" t="str">
        <x:v>account</x:v>
      </x:c>
      <x:c r="H36" s="14" t="str">
        <x:v>FEATURE</x:v>
      </x:c>
      <x:c r="I36" s="14" t="str">
        <x:v>ALTA</x:v>
      </x:c>
      <x:c r="J36" s="14" t="str">
        <x:v>PENDIENTE</x:v>
      </x:c>
      <x:c r="K36" s="14" t="str">
        <x:v>IMP-WEB-0201</x:v>
      </x:c>
      <x:c r="L36" s="14" t="str">
        <x:v>Public 05 Cuenta</x:v>
      </x:c>
      <x:c r="M36" s="14" t="str"/>
      <x:c r="N36" s="14" t="str">
        <x:v>/cuenta</x:v>
      </x:c>
      <x:c r="O36" s="14" t="str">
        <x:v>Crear Account/Profile contracts y dashboard</x:v>
      </x:c>
      <x:c r="P36" s="14" t="str">
        <x:v>Service/mapper de account/profile; dashboard summary; loading/error.</x:v>
      </x:c>
      <x:c r="Q36" s="14" t="str">
        <x:v>Account y Profile no se fusionan; no PII logs; Domain-only UI.</x:v>
      </x:c>
      <x:c r="R36" s="14" t="str">
        <x:v>Contracts listos.</x:v>
      </x:c>
      <x:c r="S36" s="14" t="str">
        <x:v>Mapper/service + RTL states.</x:v>
      </x:c>
      <x:c r="T36" s="14" t="str">
        <x:v>Vitest/RTL</x:v>
      </x:c>
      <x:c r="U36" s="14" t="str">
        <x:v>src/modules/account; profile; /cuenta</x:v>
      </x:c>
      <x:c r="V36" s="14" t="str">
        <x:v>feature/account-dashboard</x:v>
      </x:c>
      <x:c r="W36" s="14" t="str"/>
      <x:c r="X36" s="14" t="str"/>
      <x:c r="Y36" s="14" t="str"/>
      <x:c r="Z36" s="14" t="str"/>
    </x:row>
    <x:row r="37" ht="84" customHeight="1">
      <x:c r="A37" s="14" t="str">
        <x:v>IMP-WEB-0204</x:v>
      </x:c>
      <x:c r="B37" s="14" t="str">
        <x:v>S2 Identity &amp; Account</x:v>
      </x:c>
      <x:c r="C37" s="14" t="str">
        <x:v>WEB</x:v>
      </x:c>
      <x:c r="D37" s="14" t="str">
        <x:v>Público</x:v>
      </x:c>
      <x:c r="E37" s="14" t="str">
        <x:v>WEB-2</x:v>
      </x:c>
      <x:c r="F37" s="14" t="str">
        <x:v>WEB-3</x:v>
      </x:c>
      <x:c r="G37" s="14" t="str">
        <x:v>profile</x:v>
      </x:c>
      <x:c r="H37" s="14" t="str">
        <x:v>FEATURE</x:v>
      </x:c>
      <x:c r="I37" s="14" t="str">
        <x:v>ALTA</x:v>
      </x:c>
      <x:c r="J37" s="14" t="str">
        <x:v>PENDIENTE</x:v>
      </x:c>
      <x:c r="K37" s="14" t="str">
        <x:v>IMP-WEB-0203</x:v>
      </x:c>
      <x:c r="L37" s="14" t="str">
        <x:v>Public 05 Perfil</x:v>
      </x:c>
      <x:c r="M37" s="14" t="str"/>
      <x:c r="N37" s="14" t="str">
        <x:v>/cuenta/perfil</x:v>
      </x:c>
      <x:c r="O37" s="14" t="str">
        <x:v>Implementar edición de perfil</x:v>
      </x:c>
      <x:c r="P37" s="14" t="str">
        <x:v>Formulario Domain; submit service; submitting/error; no tocar auth fields no relacionados.</x:v>
      </x:c>
      <x:c r="Q37" s="14" t="str">
        <x:v>Perfil se guarda mock; GuestAccount permanece intacto; a11y form.</x:v>
      </x:c>
      <x:c r="R37" s="14" t="str">
        <x:v>Update contract listo.</x:v>
      </x:c>
      <x:c r="S37" s="14" t="str">
        <x:v>RTL validation/save.</x:v>
      </x:c>
      <x:c r="T37" s="14" t="str">
        <x:v>Vitest/RTL</x:v>
      </x:c>
      <x:c r="U37" s="14" t="str">
        <x:v>profile route/components</x:v>
      </x:c>
      <x:c r="V37" s="14" t="str">
        <x:v>feature/guest-profile</x:v>
      </x:c>
      <x:c r="W37" s="14" t="str"/>
      <x:c r="X37" s="14" t="str"/>
      <x:c r="Y37" s="14" t="str"/>
      <x:c r="Z37" s="14" t="str"/>
    </x:row>
    <x:row r="38" ht="84" customHeight="1">
      <x:c r="A38" s="14" t="str">
        <x:v>IMP-WEB-0205</x:v>
      </x:c>
      <x:c r="B38" s="14" t="str">
        <x:v>S2 Identity &amp; Account</x:v>
      </x:c>
      <x:c r="C38" s="14" t="str">
        <x:v>WEB</x:v>
      </x:c>
      <x:c r="D38" s="14" t="str">
        <x:v>Público</x:v>
      </x:c>
      <x:c r="E38" s="14" t="str">
        <x:v>WEB-2</x:v>
      </x:c>
      <x:c r="F38" s="14" t="str">
        <x:v>WEB-3</x:v>
      </x:c>
      <x:c r="G38" s="14" t="str">
        <x:v>account/reservations</x:v>
      </x:c>
      <x:c r="H38" s="14" t="str">
        <x:v>FEATURE</x:v>
      </x:c>
      <x:c r="I38" s="14" t="str">
        <x:v>ALTA</x:v>
      </x:c>
      <x:c r="J38" s="14" t="str">
        <x:v>PENDIENTE</x:v>
      </x:c>
      <x:c r="K38" s="14" t="str">
        <x:v>IMP-WEB-0203, IMP-WEB-0111</x:v>
      </x:c>
      <x:c r="L38" s="14" t="str">
        <x:v>Public 05 Historial</x:v>
      </x:c>
      <x:c r="M38" s="14" t="str"/>
      <x:c r="N38" s="14" t="str">
        <x:v>/cuenta/reservas</x:v>
      </x:c>
      <x:c r="O38" s="14" t="str">
        <x:v>Implementar historial de reservas</x:v>
      </x:c>
      <x:c r="P38" s="14" t="str">
        <x:v>Consumir Reservation API pública; lista vinculada; empty/error; status.</x:v>
      </x:c>
      <x:c r="Q38" s="14" t="str">
        <x:v>No deep import; cancelled/no-show visibles; solo datos del Guest.</x:v>
      </x:c>
      <x:c r="R38" s="14" t="str">
        <x:v>Reservation public API lista.</x:v>
      </x:c>
      <x:c r="S38" s="14" t="str">
        <x:v>RTL list/empty/error + boundary lint.</x:v>
      </x:c>
      <x:c r="T38" s="14" t="str">
        <x:v>Vitest/RTL</x:v>
      </x:c>
      <x:c r="U38" s="14" t="str">
        <x:v>account reservation history</x:v>
      </x:c>
      <x:c r="V38" s="14" t="str">
        <x:v>feature/account-reservations</x:v>
      </x:c>
      <x:c r="W38" s="14" t="str"/>
      <x:c r="X38" s="14" t="str"/>
      <x:c r="Y38" s="14" t="str"/>
      <x:c r="Z38" s="14" t="str"/>
    </x:row>
    <x:row r="39" ht="84" customHeight="1">
      <x:c r="A39" s="14" t="str">
        <x:v>IMP-WEB-0206</x:v>
      </x:c>
      <x:c r="B39" s="14" t="str">
        <x:v>S2 Identity &amp; Account</x:v>
      </x:c>
      <x:c r="C39" s="14" t="str">
        <x:v>WEB</x:v>
      </x:c>
      <x:c r="D39" s="14" t="str">
        <x:v>Público</x:v>
      </x:c>
      <x:c r="E39" s="14" t="str">
        <x:v>WEB-2</x:v>
      </x:c>
      <x:c r="F39" s="14" t="str">
        <x:v>WEB-3</x:v>
      </x:c>
      <x:c r="G39" s="14" t="str">
        <x:v>account/reservations</x:v>
      </x:c>
      <x:c r="H39" s="14" t="str">
        <x:v>FEATURE</x:v>
      </x:c>
      <x:c r="I39" s="14" t="str">
        <x:v>MEDIA</x:v>
      </x:c>
      <x:c r="J39" s="14" t="str">
        <x:v>PENDIENTE</x:v>
      </x:c>
      <x:c r="K39" s="14" t="str">
        <x:v>IMP-WEB-0205</x:v>
      </x:c>
      <x:c r="L39" s="14" t="str">
        <x:v>Public 05 Historial</x:v>
      </x:c>
      <x:c r="M39" s="14" t="str"/>
      <x:c r="N39" s="14" t="str">
        <x:v>/cuenta/reservas/[reservationId]</x:v>
      </x:c>
      <x:c r="O39" s="14" t="str">
        <x:v>Implementar detalle de reserva en cuenta</x:v>
      </x:c>
      <x:c r="P39" s="14" t="str">
        <x:v>Mostrar stays, occupants, status/policies; acciones solo Guest; 404/error.</x:v>
      </x:c>
      <x:c r="Q39" s="14" t="str">
        <x:v>0 controles Staff; multi-room correcto; route valida business ID.</x:v>
      </x:c>
      <x:c r="R39" s="14" t="str">
        <x:v>0205 COMPLETADA.</x:v>
      </x:c>
      <x:c r="S39" s="14" t="str">
        <x:v>RTL detail + security review.</x:v>
      </x:c>
      <x:c r="T39" s="14" t="str">
        <x:v>Vitest/RTL</x:v>
      </x:c>
      <x:c r="U39" s="14" t="str">
        <x:v>account reservation detail</x:v>
      </x:c>
      <x:c r="V39" s="14" t="str">
        <x:v>feature/account-reservation-detail</x:v>
      </x:c>
      <x:c r="W39" s="14" t="str"/>
      <x:c r="X39" s="14" t="str"/>
      <x:c r="Y39" s="14" t="str"/>
      <x:c r="Z39" s="14" t="str"/>
    </x:row>
    <x:row r="40" ht="84" customHeight="1">
      <x:c r="A40" s="14" t="str">
        <x:v>IMP-WEB-0207</x:v>
      </x:c>
      <x:c r="B40" s="14" t="str">
        <x:v>S2 Identity &amp; Account</x:v>
      </x:c>
      <x:c r="C40" s="14" t="str">
        <x:v>WEB</x:v>
      </x:c>
      <x:c r="D40" s="14" t="str">
        <x:v>Público</x:v>
      </x:c>
      <x:c r="E40" s="14" t="str">
        <x:v>WEB-2</x:v>
      </x:c>
      <x:c r="F40" s="14" t="str">
        <x:v>WEB-4</x:v>
      </x:c>
      <x:c r="G40" s="14" t="str">
        <x:v>rewards</x:v>
      </x:c>
      <x:c r="H40" s="14" t="str">
        <x:v>FEATURE</x:v>
      </x:c>
      <x:c r="I40" s="14" t="str">
        <x:v>ALTA</x:v>
      </x:c>
      <x:c r="J40" s="14" t="str">
        <x:v>PENDIENTE</x:v>
      </x:c>
      <x:c r="K40" s="14" t="str">
        <x:v>IMP-WEB-0203</x:v>
      </x:c>
      <x:c r="L40" s="14" t="str">
        <x:v>Public 05 Rewards</x:v>
      </x:c>
      <x:c r="M40" s="14" t="str"/>
      <x:c r="N40" s="14" t="str">
        <x:v>/cuenta/rewards</x:v>
      </x:c>
      <x:c r="O40" s="14" t="str">
        <x:v>Implementar RewardLedger</x:v>
      </x:c>
      <x:c r="P40" s="14" t="str">
        <x:v>EARN/REDEEM/EXPIRE/REVERSE; balance + movements; empty/error.</x:v>
      </x:c>
      <x:c r="Q40" s="14" t="str">
        <x:v>CANCELLED/NO_SHOW no elegibles; ledger append-only; no edit UI.</x:v>
      </x:c>
      <x:c r="R40" s="14" t="str">
        <x:v>Reward contract provisional.</x:v>
      </x:c>
      <x:c r="S40" s="14" t="str">
        <x:v>Mapper ledger + RTL.</x:v>
      </x:c>
      <x:c r="T40" s="14" t="str">
        <x:v>Vitest/RTL</x:v>
      </x:c>
      <x:c r="U40" s="14" t="str">
        <x:v>src/modules/rewards/*</x:v>
      </x:c>
      <x:c r="V40" s="14" t="str">
        <x:v>feature/rewards</x:v>
      </x:c>
      <x:c r="W40" s="14" t="str"/>
      <x:c r="X40" s="14" t="str"/>
      <x:c r="Y40" s="14" t="str"/>
      <x:c r="Z40" s="14" t="str"/>
    </x:row>
    <x:row r="41" ht="84" customHeight="1">
      <x:c r="A41" s="14" t="str">
        <x:v>IMP-WEB-0208</x:v>
      </x:c>
      <x:c r="B41" s="14" t="str">
        <x:v>S2 Identity &amp; Account</x:v>
      </x:c>
      <x:c r="C41" s="14" t="str">
        <x:v>WEB</x:v>
      </x:c>
      <x:c r="D41" s="14" t="str">
        <x:v>Público</x:v>
      </x:c>
      <x:c r="E41" s="14" t="str">
        <x:v>WEB-2</x:v>
      </x:c>
      <x:c r="F41" s="14" t="str">
        <x:v>WEB-4</x:v>
      </x:c>
      <x:c r="G41" s="14" t="str">
        <x:v>promotions</x:v>
      </x:c>
      <x:c r="H41" s="14" t="str">
        <x:v>FEATURE</x:v>
      </x:c>
      <x:c r="I41" s="14" t="str">
        <x:v>ALTA</x:v>
      </x:c>
      <x:c r="J41" s="14" t="str">
        <x:v>PENDIENTE</x:v>
      </x:c>
      <x:c r="K41" s="14" t="str">
        <x:v>IMP-WEB-0203</x:v>
      </x:c>
      <x:c r="L41" s="14" t="str">
        <x:v>Public 05 Promociones</x:v>
      </x:c>
      <x:c r="M41" s="14" t="str"/>
      <x:c r="N41" s="14" t="str">
        <x:v>/cuenta/promociones</x:v>
      </x:c>
      <x:c r="O41" s="14" t="str">
        <x:v>Implementar Promotions</x:v>
      </x:c>
      <x:c r="P41" s="14" t="str">
        <x:v>Eligibility/vigencia/stacking result/reason; empty/error.</x:v>
      </x:c>
      <x:c r="Q41" s="14" t="str">
        <x:v>Incompatible promo no se muestra combinable; reason visible cuando Domain lo entrega.</x:v>
      </x:c>
      <x:c r="R41" s="14" t="str">
        <x:v>Promotion contract listo.</x:v>
      </x:c>
      <x:c r="S41" s="14" t="str">
        <x:v>Mapper + RTL.</x:v>
      </x:c>
      <x:c r="T41" s="14" t="str">
        <x:v>Vitest/RTL</x:v>
      </x:c>
      <x:c r="U41" s="14" t="str">
        <x:v>src/modules/promotions/*</x:v>
      </x:c>
      <x:c r="V41" s="14" t="str">
        <x:v>feature/promotions</x:v>
      </x:c>
      <x:c r="W41" s="14" t="str"/>
      <x:c r="X41" s="14" t="str"/>
      <x:c r="Y41" s="14" t="str"/>
      <x:c r="Z41" s="14" t="str"/>
    </x:row>
    <x:row r="42" ht="84" customHeight="1">
      <x:c r="A42" s="14" t="str">
        <x:v>IMP-WEB-0209</x:v>
      </x:c>
      <x:c r="B42" s="14" t="str">
        <x:v>S2 Identity &amp; Account</x:v>
      </x:c>
      <x:c r="C42" s="14" t="str">
        <x:v>WEB</x:v>
      </x:c>
      <x:c r="D42" s="14" t="str">
        <x:v>Público</x:v>
      </x:c>
      <x:c r="E42" s="14" t="str">
        <x:v>WEB-2</x:v>
      </x:c>
      <x:c r="F42" s="14" t="str">
        <x:v>WEB-4</x:v>
      </x:c>
      <x:c r="G42" s="14" t="str">
        <x:v>invoices</x:v>
      </x:c>
      <x:c r="H42" s="14" t="str">
        <x:v>FEATURE</x:v>
      </x:c>
      <x:c r="I42" s="14" t="str">
        <x:v>MEDIA</x:v>
      </x:c>
      <x:c r="J42" s="14" t="str">
        <x:v>PENDIENTE</x:v>
      </x:c>
      <x:c r="K42" s="14" t="str">
        <x:v>IMP-WEB-0203</x:v>
      </x:c>
      <x:c r="L42" s="14" t="str">
        <x:v>Public 05 Facturas</x:v>
      </x:c>
      <x:c r="M42" s="14" t="str"/>
      <x:c r="N42" s="14" t="str">
        <x:v>/cuenta/facturas</x:v>
      </x:c>
      <x:c r="O42" s="14" t="str">
        <x:v>Implementar facturas/documentos</x:v>
      </x:c>
      <x:c r="P42" s="14" t="str">
        <x:v>Lista ref/status/date/total; descarga solo URL/ref permitida; empty/error.</x:v>
      </x:c>
      <x:c r="Q42" s="14" t="str">
        <x:v>No persistir archivo sensible innecesariamente; datos del Guest actual.</x:v>
      </x:c>
      <x:c r="R42" s="14" t="str">
        <x:v>Fiscal read contract provisional.</x:v>
      </x:c>
      <x:c r="S42" s="14" t="str">
        <x:v>RTL + security.</x:v>
      </x:c>
      <x:c r="T42" s="14" t="str">
        <x:v>Vitest/RTL</x:v>
      </x:c>
      <x:c r="U42" s="14" t="str">
        <x:v>account invoices</x:v>
      </x:c>
      <x:c r="V42" s="14" t="str">
        <x:v>feature/account-invoices</x:v>
      </x:c>
      <x:c r="W42" s="14" t="str"/>
      <x:c r="X42" s="14" t="str"/>
      <x:c r="Y42" s="14" t="str"/>
      <x:c r="Z42" s="14" t="str"/>
    </x:row>
    <x:row r="43" ht="84" customHeight="1">
      <x:c r="A43" s="14" t="str">
        <x:v>IMP-WEB-0210</x:v>
      </x:c>
      <x:c r="B43" s="14" t="str">
        <x:v>S2 Identity &amp; Account</x:v>
      </x:c>
      <x:c r="C43" s="14" t="str">
        <x:v>WEB</x:v>
      </x:c>
      <x:c r="D43" s="14" t="str">
        <x:v>QA</x:v>
      </x:c>
      <x:c r="E43" s="14" t="str">
        <x:v>WEB-2</x:v>
      </x:c>
      <x:c r="F43" s="14" t="str">
        <x:v>WEB-3</x:v>
      </x:c>
      <x:c r="G43" s="14" t="str">
        <x:v>account</x:v>
      </x:c>
      <x:c r="H43" s="14" t="str">
        <x:v>QA</x:v>
      </x:c>
      <x:c r="I43" s="14" t="str">
        <x:v>CRÍTICA</x:v>
      </x:c>
      <x:c r="J43" s="14" t="str">
        <x:v>PENDIENTE</x:v>
      </x:c>
      <x:c r="K43" s="14" t="str">
        <x:v>IMP-WEB-0202, IMP-WEB-0204, IMP-WEB-0206, IMP-WEB-0207, IMP-WEB-0208, IMP-WEB-0209</x:v>
      </x:c>
      <x:c r="L43" s="14" t="str">
        <x:v>Public 02 + 05</x:v>
      </x:c>
      <x:c r="M43" s="14" t="str"/>
      <x:c r="N43" s="14" t="str">
        <x:v>/acceso /cuenta/*</x:v>
      </x:c>
      <x:c r="O43" s="14" t="str">
        <x:v>QA Identity/Account</x:v>
      </x:c>
      <x:c r="P43" s="14" t="str">
        <x:v>Acceso, profile, history, rewards, promos, invoices; auth a11y; Guest/Staff separation.</x:v>
      </x:c>
      <x:c r="Q43" s="14" t="str">
        <x:v>0 mezcla Guest/Staff; Google optional; states completos; routes PASS; no PII logs.</x:v>
      </x:c>
      <x:c r="R43" s="14" t="str">
        <x:v>S2 tasks completadas.</x:v>
      </x:c>
      <x:c r="S43" s="14" t="str">
        <x:v>Global DoD + auth accessibility.</x:v>
      </x:c>
      <x:c r="T43" s="14" t="str">
        <x:v>npm run check + manual</x:v>
      </x:c>
      <x:c r="U43" s="14" t="str">
        <x:v>S2</x:v>
      </x:c>
      <x:c r="V43" s="14" t="str">
        <x:v>test/account-regression</x:v>
      </x:c>
      <x:c r="W43" s="14" t="str"/>
      <x:c r="X43" s="14" t="str"/>
      <x:c r="Y43" s="14" t="str"/>
      <x:c r="Z43" s="14" t="str"/>
    </x:row>
    <x:row r="44" ht="84" customHeight="1">
      <x:c r="A44" s="14" t="str">
        <x:v>IMP-WEB-S301</x:v>
      </x:c>
      <x:c r="B44" s="14" t="str">
        <x:v>S3 Reservation Engine</x:v>
      </x:c>
      <x:c r="C44" s="14" t="str">
        <x:v>WEB</x:v>
      </x:c>
      <x:c r="D44" s="14" t="str">
        <x:v>Shared</x:v>
      </x:c>
      <x:c r="E44" s="14" t="str">
        <x:v>WEB-3</x:v>
      </x:c>
      <x:c r="F44" s="14" t="str">
        <x:v>WEB-4</x:v>
      </x:c>
      <x:c r="G44" s="14" t="str">
        <x:v>shared/components</x:v>
      </x:c>
      <x:c r="H44" s="14" t="str">
        <x:v>SHARED</x:v>
      </x:c>
      <x:c r="I44" s="14" t="str">
        <x:v>ALTA</x:v>
      </x:c>
      <x:c r="J44" s="14" t="str">
        <x:v>PENDIENTE</x:v>
      </x:c>
      <x:c r="K44" s="14" t="str">
        <x:v>IMP-WEB-0017</x:v>
      </x:c>
      <x:c r="L44" s="14" t="str">
        <x:v>V3 — 01 Reservation Engine</x:v>
      </x:c>
      <x:c r="M44" s="14" t="str"/>
      <x:c r="N44" s="14" t="str">
        <x:v>N/A</x:v>
      </x:c>
      <x:c r="O44" s="14" t="str">
        <x:v>Crear DataTable shared</x:v>
      </x:c>
      <x:c r="P44" s="14" t="str">
        <x:v>Header/rows/empty/loading; accesible; API genérica; no reservation logic.</x:v>
      </x:c>
      <x:c r="Q44" s="14" t="str">
        <x:v>Reservation Center la usa sin columns hardcoded; keyboard/focus razonable.</x:v>
      </x:c>
      <x:c r="R44" s="14" t="str">
        <x:v>Primer uso definido.</x:v>
      </x:c>
      <x:c r="S44" s="14" t="str">
        <x:v>RTL.</x:v>
      </x:c>
      <x:c r="T44" s="14" t="str">
        <x:v>Vitest/RTL</x:v>
      </x:c>
      <x:c r="U44" s="14" t="str">
        <x:v>src/shared/components/data-table/*</x:v>
      </x:c>
      <x:c r="V44" s="14" t="str">
        <x:v>feature/shared-data-table</x:v>
      </x:c>
      <x:c r="W44" s="14" t="str"/>
      <x:c r="X44" s="14" t="str"/>
      <x:c r="Y44" s="14" t="str"/>
      <x:c r="Z44" s="14" t="str"/>
    </x:row>
    <x:row r="45" ht="84" customHeight="1">
      <x:c r="A45" s="14" t="str">
        <x:v>IMP-WEB-S302</x:v>
      </x:c>
      <x:c r="B45" s="14" t="str">
        <x:v>S3 Reservation Engine</x:v>
      </x:c>
      <x:c r="C45" s="14" t="str">
        <x:v>WEB</x:v>
      </x:c>
      <x:c r="D45" s="14" t="str">
        <x:v>Shared</x:v>
      </x:c>
      <x:c r="E45" s="14" t="str">
        <x:v>WEB-3</x:v>
      </x:c>
      <x:c r="F45" s="14" t="str">
        <x:v>WEB-2</x:v>
      </x:c>
      <x:c r="G45" s="14" t="str">
        <x:v>shared/components</x:v>
      </x:c>
      <x:c r="H45" s="14" t="str">
        <x:v>SHARED</x:v>
      </x:c>
      <x:c r="I45" s="14" t="str">
        <x:v>ALTA</x:v>
      </x:c>
      <x:c r="J45" s="14" t="str">
        <x:v>PENDIENTE</x:v>
      </x:c>
      <x:c r="K45" s="14" t="str">
        <x:v>IMP-WEB-0017</x:v>
      </x:c>
      <x:c r="L45" s="14" t="str">
        <x:v>Reservation Detail</x:v>
      </x:c>
      <x:c r="M45" s="14" t="str"/>
      <x:c r="N45" s="14" t="str">
        <x:v>N/A</x:v>
      </x:c>
      <x:c r="O45" s="14" t="str">
        <x:v>Crear Modal/ConfirmDialog shared</x:v>
      </x:c>
      <x:c r="P45" s="14" t="str">
        <x:v>Focus trap/return focus; title/body/actions; destructive variant solo usada.</x:v>
      </x:c>
      <x:c r="Q45" s="14" t="str">
        <x:v>Cancel/no-show lo reutilizan; ESC/backdrop policy; a11y PASS.</x:v>
      </x:c>
      <x:c r="R45" s="14" t="str">
        <x:v>Primer flujo destructive identificado.</x:v>
      </x:c>
      <x:c r="S45" s="14" t="str">
        <x:v>RTL focus/escape.</x:v>
      </x:c>
      <x:c r="T45" s="14" t="str">
        <x:v>Vitest/RTL</x:v>
      </x:c>
      <x:c r="U45" s="14" t="str">
        <x:v>shared modal/confirm-dialog</x:v>
      </x:c>
      <x:c r="V45" s="14" t="str">
        <x:v>feature/shared-confirm-dialog</x:v>
      </x:c>
      <x:c r="W45" s="14" t="str"/>
      <x:c r="X45" s="14" t="str"/>
      <x:c r="Y45" s="14" t="str"/>
      <x:c r="Z45" s="14" t="str"/>
    </x:row>
    <x:row r="46" ht="84" customHeight="1">
      <x:c r="A46" s="14" t="str">
        <x:v>IMP-WEB-0301</x:v>
      </x:c>
      <x:c r="B46" s="14" t="str">
        <x:v>S3 Reservation Engine</x:v>
      </x:c>
      <x:c r="C46" s="14" t="str">
        <x:v>WEB</x:v>
      </x:c>
      <x:c r="D46" s="14" t="str">
        <x:v>Privado</x:v>
      </x:c>
      <x:c r="E46" s="14" t="str">
        <x:v>WEB-3</x:v>
      </x:c>
      <x:c r="F46" s="14" t="str">
        <x:v>WEB-4</x:v>
      </x:c>
      <x:c r="G46" s="14" t="str">
        <x:v>reservations</x:v>
      </x:c>
      <x:c r="H46" s="14" t="str">
        <x:v>FEATURE</x:v>
      </x:c>
      <x:c r="I46" s="14" t="str">
        <x:v>CRÍTICA</x:v>
      </x:c>
      <x:c r="J46" s="14" t="str">
        <x:v>PENDIENTE</x:v>
      </x:c>
      <x:c r="K46" s="14" t="str">
        <x:v>IMP-WEB-0017, IMP-WEB-S301</x:v>
      </x:c>
      <x:c r="L46" s="14" t="str">
        <x:v>V3 — 01 Reservation Engine</x:v>
      </x:c>
      <x:c r="M46" s="14" t="str"/>
      <x:c r="N46" s="14" t="str">
        <x:v>/reservas</x:v>
      </x:c>
      <x:c r="O46" s="14" t="str">
        <x:v>Implementar Reservation Center</x:v>
      </x:c>
      <x:c r="P46" s="14" t="str">
        <x:v>List DTO-&gt;Domain; filtros/búsqueda; DataTable; loading/error/empty; property scope.</x:v>
      </x:c>
      <x:c r="Q46" s="14" t="str">
        <x:v>Reservation y stay summary coherentes; no datos property no autorizada; 0 fetch UI.</x:v>
      </x:c>
      <x:c r="R46" s="14" t="str">
        <x:v>List contract provisional; property scope mock listo.</x:v>
      </x:c>
      <x:c r="S46" s="14" t="str">
        <x:v>Mapper/service/RTL + visual.</x:v>
      </x:c>
      <x:c r="T46" s="14" t="str">
        <x:v>Vitest/RTL</x:v>
      </x:c>
      <x:c r="U46" s="14" t="str">
        <x:v>src/modules/reservations/*; /reservas</x:v>
      </x:c>
      <x:c r="V46" s="14" t="str">
        <x:v>feature/reservation-center</x:v>
      </x:c>
      <x:c r="W46" s="14" t="str"/>
      <x:c r="X46" s="14" t="str"/>
      <x:c r="Y46" s="14" t="str"/>
      <x:c r="Z46" s="14" t="str"/>
    </x:row>
    <x:row r="47" ht="84" customHeight="1">
      <x:c r="A47" s="14" t="str">
        <x:v>IMP-WEB-0302</x:v>
      </x:c>
      <x:c r="B47" s="14" t="str">
        <x:v>S3 Reservation Engine</x:v>
      </x:c>
      <x:c r="C47" s="14" t="str">
        <x:v>WEB</x:v>
      </x:c>
      <x:c r="D47" s="14" t="str">
        <x:v>Privado</x:v>
      </x:c>
      <x:c r="E47" s="14" t="str">
        <x:v>WEB-3</x:v>
      </x:c>
      <x:c r="F47" s="14" t="str">
        <x:v>WEB-4</x:v>
      </x:c>
      <x:c r="G47" s="14" t="str">
        <x:v>reservations</x:v>
      </x:c>
      <x:c r="H47" s="14" t="str">
        <x:v>FEATURE</x:v>
      </x:c>
      <x:c r="I47" s="14" t="str">
        <x:v>CRÍTICA</x:v>
      </x:c>
      <x:c r="J47" s="14" t="str">
        <x:v>PENDIENTE</x:v>
      </x:c>
      <x:c r="K47" s="14" t="str">
        <x:v>IMP-WEB-0301</x:v>
      </x:c>
      <x:c r="L47" s="14" t="str">
        <x:v>Reservation Detail</x:v>
      </x:c>
      <x:c r="M47" s="14" t="str"/>
      <x:c r="N47" s="14" t="str">
        <x:v>/reservas/[reservationId]</x:v>
      </x:c>
      <x:c r="O47" s="14" t="str">
        <x:v>Implementar detalle de Reservation</x:v>
      </x:c>
      <x:c r="P47" s="14" t="str">
        <x:v>Booking guest, stays, occupants, status, source y refs financieras resumidas.</x:v>
      </x:c>
      <x:c r="Q47" s="14" t="str">
        <x:v>Reservation vs Stay distinguibles; multi-room correcto; Folio vía API pública.</x:v>
      </x:c>
      <x:c r="R47" s="14" t="str">
        <x:v>Detail contract listo.</x:v>
      </x:c>
      <x:c r="S47" s="14" t="str">
        <x:v>RTL multi-room + visual.</x:v>
      </x:c>
      <x:c r="T47" s="14" t="str">
        <x:v>Vitest/RTL</x:v>
      </x:c>
      <x:c r="U47" s="14" t="str">
        <x:v>reservation detail route</x:v>
      </x:c>
      <x:c r="V47" s="14" t="str">
        <x:v>feature/reservation-detail</x:v>
      </x:c>
      <x:c r="W47" s="14" t="str"/>
      <x:c r="X47" s="14" t="str"/>
      <x:c r="Y47" s="14" t="str"/>
      <x:c r="Z47" s="14" t="str"/>
    </x:row>
    <x:row r="48" ht="84" customHeight="1">
      <x:c r="A48" s="14" t="str">
        <x:v>IMP-WEB-0303</x:v>
      </x:c>
      <x:c r="B48" s="14" t="str">
        <x:v>S3 Reservation Engine</x:v>
      </x:c>
      <x:c r="C48" s="14" t="str">
        <x:v>WEB</x:v>
      </x:c>
      <x:c r="D48" s="14" t="str">
        <x:v>Privado</x:v>
      </x:c>
      <x:c r="E48" s="14" t="str">
        <x:v>WEB-3</x:v>
      </x:c>
      <x:c r="F48" s="14" t="str">
        <x:v>WEB-4</x:v>
      </x:c>
      <x:c r="G48" s="14" t="str">
        <x:v>reservations</x:v>
      </x:c>
      <x:c r="H48" s="14" t="str">
        <x:v>FEATURE</x:v>
      </x:c>
      <x:c r="I48" s="14" t="str">
        <x:v>CRÍTICA</x:v>
      </x:c>
      <x:c r="J48" s="14" t="str">
        <x:v>PENDIENTE</x:v>
      </x:c>
      <x:c r="K48" s="14" t="str">
        <x:v>IMP-WEB-0302, IMP-WEB-S302</x:v>
      </x:c>
      <x:c r="L48" s="14" t="str">
        <x:v>Cancellation flow</x:v>
      </x:c>
      <x:c r="M48" s="14" t="str"/>
      <x:c r="N48" s="14" t="str">
        <x:v>/reservas/[reservationId]</x:v>
      </x:c>
      <x:c r="O48" s="14" t="str">
        <x:v>Implementar cancelación</x:v>
      </x:c>
      <x:c r="P48" s="14" t="str">
        <x:v>Policy preview; penalty/refund/release; confirm; submit; refresh related queries.</x:v>
      </x:c>
      <x:c r="Q48" s="14" t="str">
        <x:v>No cancel sin preview válido; error preserva original; no double submit.</x:v>
      </x:c>
      <x:c r="R48" s="14" t="str">
        <x:v>Cancel preview/apply contract listo.</x:v>
      </x:c>
      <x:c r="S48" s="14" t="str">
        <x:v>Integration success/fail.</x:v>
      </x:c>
      <x:c r="T48" s="14" t="str">
        <x:v>Vitest/RTL</x:v>
      </x:c>
      <x:c r="U48" s="14" t="str">
        <x:v>reservation cancellation</x:v>
      </x:c>
      <x:c r="V48" s="14" t="str">
        <x:v>feature/reservation-cancel</x:v>
      </x:c>
      <x:c r="W48" s="14" t="str"/>
      <x:c r="X48" s="14" t="str"/>
      <x:c r="Y48" s="14" t="str"/>
      <x:c r="Z48" s="14" t="str"/>
    </x:row>
    <x:row r="49" ht="84" customHeight="1">
      <x:c r="A49" s="14" t="str">
        <x:v>IMP-WEB-0304</x:v>
      </x:c>
      <x:c r="B49" s="14" t="str">
        <x:v>S3 Reservation Engine</x:v>
      </x:c>
      <x:c r="C49" s="14" t="str">
        <x:v>WEB</x:v>
      </x:c>
      <x:c r="D49" s="14" t="str">
        <x:v>Privado</x:v>
      </x:c>
      <x:c r="E49" s="14" t="str">
        <x:v>WEB-3</x:v>
      </x:c>
      <x:c r="F49" s="14" t="str">
        <x:v>WEB-4</x:v>
      </x:c>
      <x:c r="G49" s="14" t="str">
        <x:v>reservations</x:v>
      </x:c>
      <x:c r="H49" s="14" t="str">
        <x:v>FEATURE</x:v>
      </x:c>
      <x:c r="I49" s="14" t="str">
        <x:v>CRÍTICA</x:v>
      </x:c>
      <x:c r="J49" s="14" t="str">
        <x:v>PENDIENTE</x:v>
      </x:c>
      <x:c r="K49" s="14" t="str">
        <x:v>IMP-WEB-0302, IMP-WEB-S302</x:v>
      </x:c>
      <x:c r="L49" s="14" t="str">
        <x:v>No-show flow</x:v>
      </x:c>
      <x:c r="M49" s="14" t="str"/>
      <x:c r="N49" s="14" t="str">
        <x:v>/reservas/[reservationId]</x:v>
      </x:c>
      <x:c r="O49" s="14" t="str">
        <x:v>Implementar no-show</x:v>
      </x:c>
      <x:c r="P49" s="14" t="str">
        <x:v>Preview cutoff/policy/cargo; confirm; NO_SHOW solo tras success; refresh.</x:v>
      </x:c>
      <x:c r="Q49" s="14" t="str">
        <x:v>UI no inventa charge; error no cambia status; inventory/folio se refrescan.</x:v>
      </x:c>
      <x:c r="R49" s="14" t="str">
        <x:v>No-show contract listo.</x:v>
      </x:c>
      <x:c r="S49" s="14" t="str">
        <x:v>Integration.</x:v>
      </x:c>
      <x:c r="T49" s="14" t="str">
        <x:v>Vitest/RTL</x:v>
      </x:c>
      <x:c r="U49" s="14" t="str">
        <x:v>reservation no-show</x:v>
      </x:c>
      <x:c r="V49" s="14" t="str">
        <x:v>feature/reservation-no-show</x:v>
      </x:c>
      <x:c r="W49" s="14" t="str"/>
      <x:c r="X49" s="14" t="str"/>
      <x:c r="Y49" s="14" t="str"/>
      <x:c r="Z49" s="14" t="str"/>
    </x:row>
    <x:row r="50" ht="84" customHeight="1">
      <x:c r="A50" s="14" t="str">
        <x:v>IMP-WEB-0305</x:v>
      </x:c>
      <x:c r="B50" s="14" t="str">
        <x:v>S3 Reservation Engine</x:v>
      </x:c>
      <x:c r="C50" s="14" t="str">
        <x:v>WEB</x:v>
      </x:c>
      <x:c r="D50" s="14" t="str">
        <x:v>Privado</x:v>
      </x:c>
      <x:c r="E50" s="14" t="str">
        <x:v>WEB-3</x:v>
      </x:c>
      <x:c r="F50" s="14" t="str">
        <x:v>WEB-4</x:v>
      </x:c>
      <x:c r="G50" s="14" t="str">
        <x:v>reservations</x:v>
      </x:c>
      <x:c r="H50" s="14" t="str">
        <x:v>FEATURE</x:v>
      </x:c>
      <x:c r="I50" s="14" t="str">
        <x:v>ALTA</x:v>
      </x:c>
      <x:c r="J50" s="14" t="str">
        <x:v>PENDIENTE</x:v>
      </x:c>
      <x:c r="K50" s="14" t="str">
        <x:v>IMP-WEB-0301</x:v>
      </x:c>
      <x:c r="L50" s="14" t="str">
        <x:v>Waitlist</x:v>
      </x:c>
      <x:c r="M50" s="14" t="str"/>
      <x:c r="N50" s="14" t="str">
        <x:v>/reservas</x:v>
      </x:c>
      <x:c r="O50" s="14" t="str">
        <x:v>Implementar Waitlist y conversión</x:v>
      </x:c>
      <x:c r="P50" s="14" t="str">
        <x:v>List entries; revalidate availability/rate; create Reservation; mark converted.</x:v>
      </x:c>
      <x:c r="Q50" s="14" t="str">
        <x:v>Si revalidation falla no crea success; entry no queda OPEN tras success.</x:v>
      </x:c>
      <x:c r="R50" s="14" t="str">
        <x:v>Waitlist contract listo.</x:v>
      </x:c>
      <x:c r="S50" s="14" t="str">
        <x:v>Success/conflict integration.</x:v>
      </x:c>
      <x:c r="T50" s="14" t="str">
        <x:v>Vitest/RTL</x:v>
      </x:c>
      <x:c r="U50" s="14" t="str">
        <x:v>waitlist files</x:v>
      </x:c>
      <x:c r="V50" s="14" t="str">
        <x:v>feature/waitlist</x:v>
      </x:c>
      <x:c r="W50" s="14" t="str"/>
      <x:c r="X50" s="14" t="str"/>
      <x:c r="Y50" s="14" t="str"/>
      <x:c r="Z50" s="14" t="str"/>
    </x:row>
    <x:row r="51" ht="84" customHeight="1">
      <x:c r="A51" s="14" t="str">
        <x:v>IMP-WEB-0306</x:v>
      </x:c>
      <x:c r="B51" s="14" t="str">
        <x:v>S3 Reservation Engine</x:v>
      </x:c>
      <x:c r="C51" s="14" t="str">
        <x:v>WEB</x:v>
      </x:c>
      <x:c r="D51" s="14" t="str">
        <x:v>Privado</x:v>
      </x:c>
      <x:c r="E51" s="14" t="str">
        <x:v>WEB-3</x:v>
      </x:c>
      <x:c r="F51" s="14" t="str">
        <x:v>WEB-4</x:v>
      </x:c>
      <x:c r="G51" s="14" t="str">
        <x:v>stays</x:v>
      </x:c>
      <x:c r="H51" s="14" t="str">
        <x:v>FEATURE</x:v>
      </x:c>
      <x:c r="I51" s="14" t="str">
        <x:v>CRÍTICA</x:v>
      </x:c>
      <x:c r="J51" s="14" t="str">
        <x:v>PENDIENTE</x:v>
      </x:c>
      <x:c r="K51" s="14" t="str">
        <x:v>IMP-WEB-0302</x:v>
      </x:c>
      <x:c r="L51" s="14" t="str">
        <x:v>Room Move</x:v>
      </x:c>
      <x:c r="M51" s="14" t="str"/>
      <x:c r="N51" s="14" t="str">
        <x:v>/reservas/[reservationId]</x:v>
      </x:c>
      <x:c r="O51" s="14" t="str">
        <x:v>Implementar cambio de habitación</x:v>
      </x:c>
      <x:c r="P51" s="14" t="str">
        <x:v>Select Stay/candidate; preview/apply; refresh HK; Folio intacto.</x:v>
      </x:c>
      <x:c r="Q51" s="14" t="str">
        <x:v>Stay ID conserva; solo room assignment cambia; no cargos duplicados.</x:v>
      </x:c>
      <x:c r="R51" s="14" t="str">
        <x:v>Room move contracts listos.</x:v>
      </x:c>
      <x:c r="S51" s="14" t="str">
        <x:v>Success/fail integration.</x:v>
      </x:c>
      <x:c r="T51" s="14" t="str">
        <x:v>Vitest/RTL</x:v>
      </x:c>
      <x:c r="U51" s="14" t="str">
        <x:v>src/modules/stays/room-move*</x:v>
      </x:c>
      <x:c r="V51" s="14" t="str">
        <x:v>feature/room-move</x:v>
      </x:c>
      <x:c r="W51" s="14" t="str"/>
      <x:c r="X51" s="14" t="str"/>
      <x:c r="Y51" s="14" t="str"/>
      <x:c r="Z51" s="14" t="str"/>
    </x:row>
    <x:row r="52" ht="84" customHeight="1">
      <x:c r="A52" s="14" t="str">
        <x:v>IMP-WEB-0307</x:v>
      </x:c>
      <x:c r="B52" s="14" t="str">
        <x:v>S3 Reservation Engine</x:v>
      </x:c>
      <x:c r="C52" s="14" t="str">
        <x:v>WEB</x:v>
      </x:c>
      <x:c r="D52" s="14" t="str">
        <x:v>Privado</x:v>
      </x:c>
      <x:c r="E52" s="14" t="str">
        <x:v>WEB-3</x:v>
      </x:c>
      <x:c r="F52" s="14" t="str">
        <x:v>WEB-4</x:v>
      </x:c>
      <x:c r="G52" s="14" t="str">
        <x:v>stays</x:v>
      </x:c>
      <x:c r="H52" s="14" t="str">
        <x:v>FEATURE</x:v>
      </x:c>
      <x:c r="I52" s="14" t="str">
        <x:v>CRÍTICA</x:v>
      </x:c>
      <x:c r="J52" s="14" t="str">
        <x:v>PENDIENTE</x:v>
      </x:c>
      <x:c r="K52" s="14" t="str">
        <x:v>IMP-WEB-0302</x:v>
      </x:c>
      <x:c r="L52" s="14" t="str">
        <x:v>Stay Extension</x:v>
      </x:c>
      <x:c r="M52" s="14" t="str"/>
      <x:c r="N52" s="14" t="str">
        <x:v>/reservas/[reservationId]</x:v>
      </x:c>
      <x:c r="O52" s="14" t="str">
        <x:v>Implementar extensión</x:v>
      </x:c>
      <x:c r="P52" s="14" t="str">
        <x:v>Nueva departure; preview availability/rate; delta; apply; refresh calendar/inventory/folio.</x:v>
      </x:c>
      <x:c r="Q52" s="14" t="str">
        <x:v>No apply si gates fallan; departure cambia solo tras success.</x:v>
      </x:c>
      <x:c r="R52" s="14" t="str">
        <x:v>Extension contracts listos.</x:v>
      </x:c>
      <x:c r="S52" s="14" t="str">
        <x:v>Success/conflict integration.</x:v>
      </x:c>
      <x:c r="T52" s="14" t="str">
        <x:v>Vitest/RTL</x:v>
      </x:c>
      <x:c r="U52" s="14" t="str">
        <x:v>stay extension files</x:v>
      </x:c>
      <x:c r="V52" s="14" t="str">
        <x:v>feature/stay-extension</x:v>
      </x:c>
      <x:c r="W52" s="14" t="str"/>
      <x:c r="X52" s="14" t="str"/>
      <x:c r="Y52" s="14" t="str"/>
      <x:c r="Z52" s="14" t="str"/>
    </x:row>
    <x:row r="53" ht="84" customHeight="1">
      <x:c r="A53" s="14" t="str">
        <x:v>IMP-WEB-0308</x:v>
      </x:c>
      <x:c r="B53" s="14" t="str">
        <x:v>S3 Reservation Engine</x:v>
      </x:c>
      <x:c r="C53" s="14" t="str">
        <x:v>WEB</x:v>
      </x:c>
      <x:c r="D53" s="14" t="str">
        <x:v>Privado</x:v>
      </x:c>
      <x:c r="E53" s="14" t="str">
        <x:v>WEB-3</x:v>
      </x:c>
      <x:c r="F53" s="14" t="str">
        <x:v>WEB-4</x:v>
      </x:c>
      <x:c r="G53" s="14" t="str">
        <x:v>calendar</x:v>
      </x:c>
      <x:c r="H53" s="14" t="str">
        <x:v>FEATURE</x:v>
      </x:c>
      <x:c r="I53" s="14" t="str">
        <x:v>ALTA</x:v>
      </x:c>
      <x:c r="J53" s="14" t="str">
        <x:v>PENDIENTE</x:v>
      </x:c>
      <x:c r="K53" s="14" t="str">
        <x:v>IMP-WEB-0301</x:v>
      </x:c>
      <x:c r="L53" s="14" t="str">
        <x:v>Calendar</x:v>
      </x:c>
      <x:c r="M53" s="14" t="str"/>
      <x:c r="N53" s="14" t="str">
        <x:v>/calendario</x:v>
      </x:c>
      <x:c r="O53" s="14" t="str">
        <x:v>Implementar Calendar/Gantt</x:v>
      </x:c>
      <x:c r="P53" s="14" t="str">
        <x:v>Stays por room/date; property scope; select a detail; filters/date nav.</x:v>
      </x:c>
      <x:c r="Q53" s="14" t="str">
        <x:v>Multi-room representado por stays; no overlap visual; no V1 routes.</x:v>
      </x:c>
      <x:c r="R53" s="14" t="str">
        <x:v>Calendar contract listo.</x:v>
      </x:c>
      <x:c r="S53" s="14" t="str">
        <x:v>RTL interactions + visual.</x:v>
      </x:c>
      <x:c r="T53" s="14" t="str">
        <x:v>Vitest/RTL</x:v>
      </x:c>
      <x:c r="U53" s="14" t="str">
        <x:v>calendar route/components</x:v>
      </x:c>
      <x:c r="V53" s="14" t="str">
        <x:v>feature/reservation-calendar</x:v>
      </x:c>
      <x:c r="W53" s="14" t="str"/>
      <x:c r="X53" s="14" t="str"/>
      <x:c r="Y53" s="14" t="str"/>
      <x:c r="Z53" s="14" t="str"/>
    </x:row>
    <x:row r="54" ht="84" customHeight="1">
      <x:c r="A54" s="14" t="str">
        <x:v>IMP-WEB-0309</x:v>
      </x:c>
      <x:c r="B54" s="14" t="str">
        <x:v>S3 Reservation Engine</x:v>
      </x:c>
      <x:c r="C54" s="14" t="str">
        <x:v>WEB</x:v>
      </x:c>
      <x:c r="D54" s="14" t="str">
        <x:v>QA</x:v>
      </x:c>
      <x:c r="E54" s="14" t="str">
        <x:v>WEB-3</x:v>
      </x:c>
      <x:c r="F54" s="14" t="str">
        <x:v>WEB-4</x:v>
      </x:c>
      <x:c r="G54" s="14" t="str">
        <x:v>reservations</x:v>
      </x:c>
      <x:c r="H54" s="14" t="str">
        <x:v>QA</x:v>
      </x:c>
      <x:c r="I54" s="14" t="str">
        <x:v>CRÍTICA</x:v>
      </x:c>
      <x:c r="J54" s="14" t="str">
        <x:v>PENDIENTE</x:v>
      </x:c>
      <x:c r="K54" s="14" t="str">
        <x:v>IMP-WEB-0303, IMP-WEB-0304, IMP-WEB-0305, IMP-WEB-0306, IMP-WEB-0307, IMP-WEB-0308</x:v>
      </x:c>
      <x:c r="L54" s="14" t="str">
        <x:v>V3 — 01 Reservation Engine</x:v>
      </x:c>
      <x:c r="M54" s="14" t="str"/>
      <x:c r="N54" s="14" t="str">
        <x:v>/reservas*</x:v>
      </x:c>
      <x:c r="O54" s="14" t="str">
        <x:v>QA Reservation Engine</x:v>
      </x:c>
      <x:c r="P54" s="14" t="str">
        <x:v>Cancel/no-show/waitlist/room move/extension/calendar; property scope; multi-room.</x:v>
      </x:c>
      <x:c r="Q54" s="14" t="str">
        <x:v>0 Reservation=Stay; financial refs coherentes; 0 dead controls; routes/sidebar PASS.</x:v>
      </x:c>
      <x:c r="R54" s="14" t="str">
        <x:v>S3 core completo.</x:v>
      </x:c>
      <x:c r="S54" s="14" t="str">
        <x:v>Global DoD + regression.</x:v>
      </x:c>
      <x:c r="T54" s="14" t="str">
        <x:v>npm run check + manual</x:v>
      </x:c>
      <x:c r="U54" s="14" t="str">
        <x:v>S3</x:v>
      </x:c>
      <x:c r="V54" s="14" t="str">
        <x:v>test/reservation-engine-regression</x:v>
      </x:c>
      <x:c r="W54" s="14" t="str"/>
      <x:c r="X54" s="14" t="str"/>
      <x:c r="Y54" s="14" t="str"/>
      <x:c r="Z54" s="14" t="str"/>
    </x:row>
    <x:row r="55" ht="84" customHeight="1">
      <x:c r="A55" s="14" t="str">
        <x:v>IMP-WEB-S401</x:v>
      </x:c>
      <x:c r="B55" s="14" t="str">
        <x:v>S4 Folio &amp; Payments</x:v>
      </x:c>
      <x:c r="C55" s="14" t="str">
        <x:v>WEB</x:v>
      </x:c>
      <x:c r="D55" s="14" t="str">
        <x:v>Shared</x:v>
      </x:c>
      <x:c r="E55" s="14" t="str">
        <x:v>WEB-4</x:v>
      </x:c>
      <x:c r="F55" s="14" t="str">
        <x:v>WEB-3</x:v>
      </x:c>
      <x:c r="G55" s="14" t="str">
        <x:v>shared/components</x:v>
      </x:c>
      <x:c r="H55" s="14" t="str">
        <x:v>SHARED</x:v>
      </x:c>
      <x:c r="I55" s="14" t="str">
        <x:v>ALTA</x:v>
      </x:c>
      <x:c r="J55" s="14" t="str">
        <x:v>PENDIENTE</x:v>
      </x:c>
      <x:c r="K55" s="14" t="str">
        <x:v>IMP-WEB-0017</x:v>
      </x:c>
      <x:c r="L55" s="14" t="str">
        <x:v>Advanced Folio</x:v>
      </x:c>
      <x:c r="M55" s="14" t="str"/>
      <x:c r="N55" s="14" t="str">
        <x:v>N/A</x:v>
      </x:c>
      <x:c r="O55" s="14" t="str">
        <x:v>Crear StatusBadge shared</x:v>
      </x:c>
      <x:c r="P55" s="14" t="str">
        <x:v>Solo statuses usados; semantic tokens; mapping fuera del component.</x:v>
      </x:c>
      <x:c r="Q55" s="14" t="str">
        <x:v>Reusable Folio/Payment/Reservation; no hardcoded business mapping.</x:v>
      </x:c>
      <x:c r="R55" s="14" t="str">
        <x:v>Primer usage definido.</x:v>
      </x:c>
      <x:c r="S55" s="14" t="str">
        <x:v>RTL+visual.</x:v>
      </x:c>
      <x:c r="T55" s="14" t="str">
        <x:v>Vitest/RTL</x:v>
      </x:c>
      <x:c r="U55" s="14" t="str">
        <x:v>shared status-badge</x:v>
      </x:c>
      <x:c r="V55" s="14" t="str">
        <x:v>feature/shared-status-badge</x:v>
      </x:c>
      <x:c r="W55" s="14" t="str"/>
      <x:c r="X55" s="14" t="str"/>
      <x:c r="Y55" s="14" t="str"/>
      <x:c r="Z55" s="14" t="str"/>
    </x:row>
    <x:row r="56" ht="84" customHeight="1">
      <x:c r="A56" s="14" t="str">
        <x:v>IMP-WEB-0401</x:v>
      </x:c>
      <x:c r="B56" s="14" t="str">
        <x:v>S4 Folio &amp; Payments</x:v>
      </x:c>
      <x:c r="C56" s="14" t="str">
        <x:v>WEB</x:v>
      </x:c>
      <x:c r="D56" s="14" t="str">
        <x:v>Privado</x:v>
      </x:c>
      <x:c r="E56" s="14" t="str">
        <x:v>WEB-4</x:v>
      </x:c>
      <x:c r="F56" s="14" t="str">
        <x:v>WEB-3</x:v>
      </x:c>
      <x:c r="G56" s="14" t="str">
        <x:v>folio</x:v>
      </x:c>
      <x:c r="H56" s="14" t="str">
        <x:v>FEATURE</x:v>
      </x:c>
      <x:c r="I56" s="14" t="str">
        <x:v>CRÍTICA</x:v>
      </x:c>
      <x:c r="J56" s="14" t="str">
        <x:v>PENDIENTE</x:v>
      </x:c>
      <x:c r="K56" s="14" t="str">
        <x:v>IMP-WEB-0017, IMP-WEB-S301, IMP-WEB-S401</x:v>
      </x:c>
      <x:c r="L56" s="14" t="str">
        <x:v>Advanced Folio</x:v>
      </x:c>
      <x:c r="M56" s="14" t="str"/>
      <x:c r="N56" s="14" t="str">
        <x:v>/folios/[folioId]</x:v>
      </x:c>
      <x:c r="O56" s="14" t="str">
        <x:v>Implementar Folio avanzado</x:v>
      </x:c>
      <x:c r="P56" s="14" t="str">
        <x:v>Charges/payments/balance/routing/status; loading/error; history read-only salvo acciones.</x:v>
      </x:c>
      <x:c r="Q56" s="14" t="str">
        <x:v>Balance coherente; Guest/Company/Master distinguibles; no hard delete.</x:v>
      </x:c>
      <x:c r="R56" s="14" t="str">
        <x:v>Folio contract provisional.</x:v>
      </x:c>
      <x:c r="S56" s="14" t="str">
        <x:v>Mapper/service + RTL rows.</x:v>
      </x:c>
      <x:c r="T56" s="14" t="str">
        <x:v>Vitest/RTL</x:v>
      </x:c>
      <x:c r="U56" s="14" t="str">
        <x:v>src/modules/folio/*</x:v>
      </x:c>
      <x:c r="V56" s="14" t="str">
        <x:v>feature/folio-detail</x:v>
      </x:c>
      <x:c r="W56" s="14" t="str"/>
      <x:c r="X56" s="14" t="str"/>
      <x:c r="Y56" s="14" t="str"/>
      <x:c r="Z56" s="14" t="str"/>
    </x:row>
    <x:row r="57" ht="84" customHeight="1">
      <x:c r="A57" s="14" t="str">
        <x:v>IMP-WEB-0402</x:v>
      </x:c>
      <x:c r="B57" s="14" t="str">
        <x:v>S4 Folio &amp; Payments</x:v>
      </x:c>
      <x:c r="C57" s="14" t="str">
        <x:v>WEB</x:v>
      </x:c>
      <x:c r="D57" s="14" t="str">
        <x:v>Privado</x:v>
      </x:c>
      <x:c r="E57" s="14" t="str">
        <x:v>WEB-4</x:v>
      </x:c>
      <x:c r="F57" s="14" t="str">
        <x:v>WEB-3</x:v>
      </x:c>
      <x:c r="G57" s="14" t="str">
        <x:v>folio</x:v>
      </x:c>
      <x:c r="H57" s="14" t="str">
        <x:v>FEATURE</x:v>
      </x:c>
      <x:c r="I57" s="14" t="str">
        <x:v>CRÍTICA</x:v>
      </x:c>
      <x:c r="J57" s="14" t="str">
        <x:v>PENDIENTE</x:v>
      </x:c>
      <x:c r="K57" s="14" t="str">
        <x:v>IMP-WEB-0401, IMP-WEB-S302</x:v>
      </x:c>
      <x:c r="L57" s="14" t="str">
        <x:v>Folio routing/split</x:v>
      </x:c>
      <x:c r="M57" s="14" t="str"/>
      <x:c r="N57" s="14" t="str">
        <x:v>/folios/[folioId]</x:v>
      </x:c>
      <x:c r="O57" s="14" t="str">
        <x:v>Implementar routing y split</x:v>
      </x:c>
      <x:c r="P57" s="14" t="str">
        <x:v>Select charges; preview target; apply; conservar amount/history.</x:v>
      </x:c>
      <x:c r="Q57" s="14" t="str">
        <x:v>Split totals conservan original; no charge duplication; audit/ref visible si existe.</x:v>
      </x:c>
      <x:c r="R57" s="14" t="str">
        <x:v>Routing/split contract listo.</x:v>
      </x:c>
      <x:c r="S57" s="14" t="str">
        <x:v>Unit conservation + integration.</x:v>
      </x:c>
      <x:c r="T57" s="14" t="str">
        <x:v>Vitest/RTL</x:v>
      </x:c>
      <x:c r="U57" s="14" t="str">
        <x:v>folio routing/split</x:v>
      </x:c>
      <x:c r="V57" s="14" t="str">
        <x:v>feature/folio-routing</x:v>
      </x:c>
      <x:c r="W57" s="14" t="str"/>
      <x:c r="X57" s="14" t="str"/>
      <x:c r="Y57" s="14" t="str"/>
      <x:c r="Z57" s="14" t="str"/>
    </x:row>
    <x:row r="58" ht="84" customHeight="1">
      <x:c r="A58" s="14" t="str">
        <x:v>IMP-WEB-0403</x:v>
      </x:c>
      <x:c r="B58" s="14" t="str">
        <x:v>S4 Folio &amp; Payments</x:v>
      </x:c>
      <x:c r="C58" s="14" t="str">
        <x:v>WEB</x:v>
      </x:c>
      <x:c r="D58" s="14" t="str">
        <x:v>Privado</x:v>
      </x:c>
      <x:c r="E58" s="14" t="str">
        <x:v>WEB-4</x:v>
      </x:c>
      <x:c r="F58" s="14" t="str">
        <x:v>WEB-3</x:v>
      </x:c>
      <x:c r="G58" s="14" t="str">
        <x:v>folio</x:v>
      </x:c>
      <x:c r="H58" s="14" t="str">
        <x:v>FEATURE</x:v>
      </x:c>
      <x:c r="I58" s="14" t="str">
        <x:v>ALTA</x:v>
      </x:c>
      <x:c r="J58" s="14" t="str">
        <x:v>PENDIENTE</x:v>
      </x:c>
      <x:c r="K58" s="14" t="str">
        <x:v>IMP-WEB-0401</x:v>
      </x:c>
      <x:c r="L58" s="14" t="str">
        <x:v>Folio transfer</x:v>
      </x:c>
      <x:c r="M58" s="14" t="str"/>
      <x:c r="N58" s="14" t="str">
        <x:v>/folios/[folioId]</x:v>
      </x:c>
      <x:c r="O58" s="14" t="str">
        <x:v>Implementar transferencia entre folios</x:v>
      </x:c>
      <x:c r="P58" s="14" t="str">
        <x:v>Preview origin/target; validate policy/property; apply compensatory/traced.</x:v>
      </x:c>
      <x:c r="Q58" s="14" t="str">
        <x:v>Totals preserved; invalid target blocked; no history deletion.</x:v>
      </x:c>
      <x:c r="R58" s="14" t="str">
        <x:v>Transfer contract listo.</x:v>
      </x:c>
      <x:c r="S58" s="14" t="str">
        <x:v>Integration.</x:v>
      </x:c>
      <x:c r="T58" s="14" t="str">
        <x:v>Vitest/RTL</x:v>
      </x:c>
      <x:c r="U58" s="14" t="str">
        <x:v>folio transfer</x:v>
      </x:c>
      <x:c r="V58" s="14" t="str">
        <x:v>feature/folio-transfer</x:v>
      </x:c>
      <x:c r="W58" s="14" t="str"/>
      <x:c r="X58" s="14" t="str"/>
      <x:c r="Y58" s="14" t="str"/>
      <x:c r="Z58" s="14" t="str"/>
    </x:row>
    <x:row r="59" ht="84" customHeight="1">
      <x:c r="A59" s="14" t="str">
        <x:v>IMP-WEB-0404</x:v>
      </x:c>
      <x:c r="B59" s="14" t="str">
        <x:v>S4 Folio &amp; Payments</x:v>
      </x:c>
      <x:c r="C59" s="14" t="str">
        <x:v>WEB</x:v>
      </x:c>
      <x:c r="D59" s="14" t="str">
        <x:v>Privado</x:v>
      </x:c>
      <x:c r="E59" s="14" t="str">
        <x:v>WEB-4</x:v>
      </x:c>
      <x:c r="F59" s="14" t="str">
        <x:v>WEB-3</x:v>
      </x:c>
      <x:c r="G59" s="14" t="str">
        <x:v>payments</x:v>
      </x:c>
      <x:c r="H59" s="14" t="str">
        <x:v>FEATURE</x:v>
      </x:c>
      <x:c r="I59" s="14" t="str">
        <x:v>CRÍTICA</x:v>
      </x:c>
      <x:c r="J59" s="14" t="str">
        <x:v>PENDIENTE</x:v>
      </x:c>
      <x:c r="K59" s="14" t="str">
        <x:v>IMP-WEB-0017, IMP-WEB-S401</x:v>
      </x:c>
      <x:c r="L59" s="14" t="str">
        <x:v>Payments lifecycle</x:v>
      </x:c>
      <x:c r="M59" s="14" t="str"/>
      <x:c r="N59" s="14" t="str">
        <x:v>/pagos</x:v>
      </x:c>
      <x:c r="O59" s="14" t="str">
        <x:v>Implementar listado y Domain Payment</x:v>
      </x:c>
      <x:c r="P59" s="14" t="str">
        <x:v>DTO-&gt;Domain id/amount/currency/status/providerRef/last4; no PAN/CVV.</x:v>
      </x:c>
      <x:c r="Q59" s="14" t="str">
        <x:v>0 raw provider payload/secrets; statuses normalizados; states complete.</x:v>
      </x:c>
      <x:c r="R59" s="14" t="str">
        <x:v>Payment contract provisional.</x:v>
      </x:c>
      <x:c r="S59" s="14" t="str">
        <x:v>Mapper/service + RTL.</x:v>
      </x:c>
      <x:c r="T59" s="14" t="str">
        <x:v>Vitest/RTL</x:v>
      </x:c>
      <x:c r="U59" s="14" t="str">
        <x:v>src/modules/payments/*</x:v>
      </x:c>
      <x:c r="V59" s="14" t="str">
        <x:v>feature/payments-list</x:v>
      </x:c>
      <x:c r="W59" s="14" t="str"/>
      <x:c r="X59" s="14" t="str"/>
      <x:c r="Y59" s="14" t="str"/>
      <x:c r="Z59" s="14" t="str"/>
    </x:row>
    <x:row r="60" ht="84" customHeight="1">
      <x:c r="A60" s="14" t="str">
        <x:v>IMP-WEB-0405</x:v>
      </x:c>
      <x:c r="B60" s="14" t="str">
        <x:v>S4 Folio &amp; Payments</x:v>
      </x:c>
      <x:c r="C60" s="14" t="str">
        <x:v>WEB</x:v>
      </x:c>
      <x:c r="D60" s="14" t="str">
        <x:v>Privado</x:v>
      </x:c>
      <x:c r="E60" s="14" t="str">
        <x:v>WEB-4</x:v>
      </x:c>
      <x:c r="F60" s="14" t="str">
        <x:v>WEB-3</x:v>
      </x:c>
      <x:c r="G60" s="14" t="str">
        <x:v>payments</x:v>
      </x:c>
      <x:c r="H60" s="14" t="str">
        <x:v>FEATURE</x:v>
      </x:c>
      <x:c r="I60" s="14" t="str">
        <x:v>CRÍTICA</x:v>
      </x:c>
      <x:c r="J60" s="14" t="str">
        <x:v>PENDIENTE</x:v>
      </x:c>
      <x:c r="K60" s="14" t="str">
        <x:v>IMP-WEB-0404</x:v>
      </x:c>
      <x:c r="L60" s="14" t="str">
        <x:v>Authorization</x:v>
      </x:c>
      <x:c r="M60" s="14" t="str"/>
      <x:c r="N60" s="14" t="str">
        <x:v>/pagos</x:v>
      </x:c>
      <x:c r="O60" s="14" t="str">
        <x:v>Implementar autorización</x:v>
      </x:c>
      <x:c r="P60" s="14" t="str">
        <x:v>Token/provider ref mock; submitting; success AUTHORIZED; failure.</x:v>
      </x:c>
      <x:c r="Q60" s="14" t="str">
        <x:v>No PAN/CVV persisted; status solo tras response.</x:v>
      </x:c>
      <x:c r="R60" s="14" t="str">
        <x:v>Authorization contract listo.</x:v>
      </x:c>
      <x:c r="S60" s="14" t="str">
        <x:v>Success/fail/security.</x:v>
      </x:c>
      <x:c r="T60" s="14" t="str">
        <x:v>Vitest/RTL</x:v>
      </x:c>
      <x:c r="U60" s="14" t="str">
        <x:v>payment authorization</x:v>
      </x:c>
      <x:c r="V60" s="14" t="str">
        <x:v>feature/payment-authorization</x:v>
      </x:c>
      <x:c r="W60" s="14" t="str"/>
      <x:c r="X60" s="14" t="str"/>
      <x:c r="Y60" s="14" t="str"/>
      <x:c r="Z60" s="14" t="str"/>
    </x:row>
    <x:row r="61" ht="84" customHeight="1">
      <x:c r="A61" s="14" t="str">
        <x:v>IMP-WEB-0406</x:v>
      </x:c>
      <x:c r="B61" s="14" t="str">
        <x:v>S4 Folio &amp; Payments</x:v>
      </x:c>
      <x:c r="C61" s="14" t="str">
        <x:v>WEB</x:v>
      </x:c>
      <x:c r="D61" s="14" t="str">
        <x:v>Privado</x:v>
      </x:c>
      <x:c r="E61" s="14" t="str">
        <x:v>WEB-4</x:v>
      </x:c>
      <x:c r="F61" s="14" t="str">
        <x:v>WEB-3</x:v>
      </x:c>
      <x:c r="G61" s="14" t="str">
        <x:v>payments</x:v>
      </x:c>
      <x:c r="H61" s="14" t="str">
        <x:v>FEATURE</x:v>
      </x:c>
      <x:c r="I61" s="14" t="str">
        <x:v>CRÍTICA</x:v>
      </x:c>
      <x:c r="J61" s="14" t="str">
        <x:v>PENDIENTE</x:v>
      </x:c>
      <x:c r="K61" s="14" t="str">
        <x:v>IMP-WEB-0405</x:v>
      </x:c>
      <x:c r="L61" s="14" t="str">
        <x:v>Capture</x:v>
      </x:c>
      <x:c r="M61" s="14" t="str"/>
      <x:c r="N61" s="14" t="str">
        <x:v>/pagos</x:v>
      </x:c>
      <x:c r="O61" s="14" t="str">
        <x:v>Implementar capture total/parcial</x:v>
      </x:c>
      <x:c r="P61" s="14" t="str">
        <x:v>Parent auth; amount &lt;= authorized remaining; response refs.</x:v>
      </x:c>
      <x:c r="Q61" s="14" t="str">
        <x:v>No over-capture; parent ref preservada; no optimistic success.</x:v>
      </x:c>
      <x:c r="R61" s="14" t="str">
        <x:v>Capture contract listo.</x:v>
      </x:c>
      <x:c r="S61" s="14" t="str">
        <x:v>Unit limits + integration.</x:v>
      </x:c>
      <x:c r="T61" s="14" t="str">
        <x:v>Vitest/RTL</x:v>
      </x:c>
      <x:c r="U61" s="14" t="str">
        <x:v>payment capture</x:v>
      </x:c>
      <x:c r="V61" s="14" t="str">
        <x:v>feature/payment-capture</x:v>
      </x:c>
      <x:c r="W61" s="14" t="str"/>
      <x:c r="X61" s="14" t="str"/>
      <x:c r="Y61" s="14" t="str"/>
      <x:c r="Z61" s="14" t="str"/>
    </x:row>
    <x:row r="62" ht="84" customHeight="1">
      <x:c r="A62" s="14" t="str">
        <x:v>IMP-WEB-0407</x:v>
      </x:c>
      <x:c r="B62" s="14" t="str">
        <x:v>S4 Folio &amp; Payments</x:v>
      </x:c>
      <x:c r="C62" s="14" t="str">
        <x:v>WEB</x:v>
      </x:c>
      <x:c r="D62" s="14" t="str">
        <x:v>Privado</x:v>
      </x:c>
      <x:c r="E62" s="14" t="str">
        <x:v>WEB-4</x:v>
      </x:c>
      <x:c r="F62" s="14" t="str">
        <x:v>WEB-3</x:v>
      </x:c>
      <x:c r="G62" s="14" t="str">
        <x:v>payments</x:v>
      </x:c>
      <x:c r="H62" s="14" t="str">
        <x:v>FEATURE</x:v>
      </x:c>
      <x:c r="I62" s="14" t="str">
        <x:v>CRÍTICA</x:v>
      </x:c>
      <x:c r="J62" s="14" t="str">
        <x:v>PENDIENTE</x:v>
      </x:c>
      <x:c r="K62" s="14" t="str">
        <x:v>IMP-WEB-0405</x:v>
      </x:c>
      <x:c r="L62" s="14" t="str">
        <x:v>Void</x:v>
      </x:c>
      <x:c r="M62" s="14" t="str"/>
      <x:c r="N62" s="14" t="str">
        <x:v>/pagos</x:v>
      </x:c>
      <x:c r="O62" s="14" t="str">
        <x:v>Implementar void</x:v>
      </x:c>
      <x:c r="P62" s="14" t="str">
        <x:v>Elegibilidad; confirm; apply; refresh status/ref.</x:v>
      </x:c>
      <x:c r="Q62" s="14" t="str">
        <x:v>Solo elegible; failure no altera status; audit/ref.</x:v>
      </x:c>
      <x:c r="R62" s="14" t="str">
        <x:v>Void contract listo.</x:v>
      </x:c>
      <x:c r="S62" s="14" t="str">
        <x:v>Integration.</x:v>
      </x:c>
      <x:c r="T62" s="14" t="str">
        <x:v>Vitest/RTL</x:v>
      </x:c>
      <x:c r="U62" s="14" t="str">
        <x:v>payment void</x:v>
      </x:c>
      <x:c r="V62" s="14" t="str">
        <x:v>feature/payment-void</x:v>
      </x:c>
      <x:c r="W62" s="14" t="str"/>
      <x:c r="X62" s="14" t="str"/>
      <x:c r="Y62" s="14" t="str"/>
      <x:c r="Z62" s="14" t="str"/>
    </x:row>
    <x:row r="63" ht="84" customHeight="1">
      <x:c r="A63" s="14" t="str">
        <x:v>IMP-WEB-0408</x:v>
      </x:c>
      <x:c r="B63" s="14" t="str">
        <x:v>S4 Folio &amp; Payments</x:v>
      </x:c>
      <x:c r="C63" s="14" t="str">
        <x:v>WEB</x:v>
      </x:c>
      <x:c r="D63" s="14" t="str">
        <x:v>Privado</x:v>
      </x:c>
      <x:c r="E63" s="14" t="str">
        <x:v>WEB-4</x:v>
      </x:c>
      <x:c r="F63" s="14" t="str">
        <x:v>WEB-3</x:v>
      </x:c>
      <x:c r="G63" s="14" t="str">
        <x:v>payments</x:v>
      </x:c>
      <x:c r="H63" s="14" t="str">
        <x:v>FEATURE</x:v>
      </x:c>
      <x:c r="I63" s="14" t="str">
        <x:v>CRÍTICA</x:v>
      </x:c>
      <x:c r="J63" s="14" t="str">
        <x:v>PENDIENTE</x:v>
      </x:c>
      <x:c r="K63" s="14" t="str">
        <x:v>IMP-WEB-0406</x:v>
      </x:c>
      <x:c r="L63" s="14" t="str">
        <x:v>Refund</x:v>
      </x:c>
      <x:c r="M63" s="14" t="str"/>
      <x:c r="N63" s="14" t="str">
        <x:v>/pagos</x:v>
      </x:c>
      <x:c r="O63" s="14" t="str">
        <x:v>Implementar refund total/parcial</x:v>
      </x:c>
      <x:c r="P63" s="14" t="str">
        <x:v>Max captured-refundable; parent capture ref; reason; multiple refunds.</x:v>
      </x:c>
      <x:c r="Q63" s="14" t="str">
        <x:v>Suma refunds &lt;= captured; remaining correcto; no negative.</x:v>
      </x:c>
      <x:c r="R63" s="14" t="str">
        <x:v>Refund contract listo.</x:v>
      </x:c>
      <x:c r="S63" s="14" t="str">
        <x:v>Unit arithmetic + integration.</x:v>
      </x:c>
      <x:c r="T63" s="14" t="str">
        <x:v>Vitest/RTL</x:v>
      </x:c>
      <x:c r="U63" s="14" t="str">
        <x:v>payment refund</x:v>
      </x:c>
      <x:c r="V63" s="14" t="str">
        <x:v>feature/payment-refund</x:v>
      </x:c>
      <x:c r="W63" s="14" t="str"/>
      <x:c r="X63" s="14" t="str"/>
      <x:c r="Y63" s="14" t="str"/>
      <x:c r="Z63" s="14" t="str"/>
    </x:row>
    <x:row r="64" ht="84" customHeight="1">
      <x:c r="A64" s="14" t="str">
        <x:v>IMP-WEB-0409</x:v>
      </x:c>
      <x:c r="B64" s="14" t="str">
        <x:v>S4 Folio &amp; Payments</x:v>
      </x:c>
      <x:c r="C64" s="14" t="str">
        <x:v>WEB</x:v>
      </x:c>
      <x:c r="D64" s="14" t="str">
        <x:v>QA</x:v>
      </x:c>
      <x:c r="E64" s="14" t="str">
        <x:v>WEB-4</x:v>
      </x:c>
      <x:c r="F64" s="14" t="str">
        <x:v>WEB-3</x:v>
      </x:c>
      <x:c r="G64" s="14" t="str">
        <x:v>finance</x:v>
      </x:c>
      <x:c r="H64" s="14" t="str">
        <x:v>QA</x:v>
      </x:c>
      <x:c r="I64" s="14" t="str">
        <x:v>CRÍTICA</x:v>
      </x:c>
      <x:c r="J64" s="14" t="str">
        <x:v>PENDIENTE</x:v>
      </x:c>
      <x:c r="K64" s="14" t="str">
        <x:v>IMP-WEB-0402, IMP-WEB-0403, IMP-WEB-0405, IMP-WEB-0406, IMP-WEB-0407, IMP-WEB-0408</x:v>
      </x:c>
      <x:c r="L64" s="14" t="str">
        <x:v>V3 — 02 Folio &amp; Payments</x:v>
      </x:c>
      <x:c r="M64" s="14" t="str"/>
      <x:c r="N64" s="14" t="str">
        <x:v>/folios* /pagos</x:v>
      </x:c>
      <x:c r="O64" s="14" t="str">
        <x:v>QA Folio/Payments</x:v>
      </x:c>
      <x:c r="P64" s="14" t="str">
        <x:v>Balance conservation; routing/split/transfer; auth/capture/void/refund; security.</x:v>
      </x:c>
      <x:c r="Q64" s="14" t="str">
        <x:v>0 hard delete; arithmetic PASS; 0 PAN/CVV; routes/roles PASS.</x:v>
      </x:c>
      <x:c r="R64" s="14" t="str">
        <x:v>S4 core completo.</x:v>
      </x:c>
      <x:c r="S64" s="14" t="str">
        <x:v>Global DoD + security regression.</x:v>
      </x:c>
      <x:c r="T64" s="14" t="str">
        <x:v>npm run check + journeys</x:v>
      </x:c>
      <x:c r="U64" s="14" t="str">
        <x:v>S4</x:v>
      </x:c>
      <x:c r="V64" s="14" t="str">
        <x:v>test/finance-regression</x:v>
      </x:c>
      <x:c r="W64" s="14" t="str"/>
      <x:c r="X64" s="14" t="str"/>
      <x:c r="Y64" s="14" t="str"/>
      <x:c r="Z64" s="14" t="str"/>
    </x:row>
    <x:row r="65" ht="84" customHeight="1">
      <x:c r="A65" s="14" t="str">
        <x:v>IMP-WEB-0501</x:v>
      </x:c>
      <x:c r="B65" s="14" t="str">
        <x:v>S5 Operations</x:v>
      </x:c>
      <x:c r="C65" s="14" t="str">
        <x:v>WEB</x:v>
      </x:c>
      <x:c r="D65" s="14" t="str">
        <x:v>Privado</x:v>
      </x:c>
      <x:c r="E65" s="14" t="str">
        <x:v>WEB-3</x:v>
      </x:c>
      <x:c r="F65" s="14" t="str">
        <x:v>WEB-4</x:v>
      </x:c>
      <x:c r="G65" s="14" t="str">
        <x:v>housekeeping</x:v>
      </x:c>
      <x:c r="H65" s="14" t="str">
        <x:v>FEATURE</x:v>
      </x:c>
      <x:c r="I65" s="14" t="str">
        <x:v>CRÍTICA</x:v>
      </x:c>
      <x:c r="J65" s="14" t="str">
        <x:v>PENDIENTE</x:v>
      </x:c>
      <x:c r="K65" s="14" t="str">
        <x:v>IMP-WEB-0017, IMP-WEB-S301, IMP-WEB-S401</x:v>
      </x:c>
      <x:c r="L65" s="14" t="str">
        <x:v>Housekeeping</x:v>
      </x:c>
      <x:c r="M65" s="14" t="str"/>
      <x:c r="N65" s="14" t="str">
        <x:v>/housekeeping</x:v>
      </x:c>
      <x:c r="O65" s="14" t="str">
        <x:v>Implementar Housekeeping base</x:v>
      </x:c>
      <x:c r="P65" s="14" t="str">
        <x:v>DTO-&gt;Domain DIRTY/CLEAN/INSPECTED; filtros; property scope; loading/error/empty.</x:v>
      </x:c>
      <x:c r="Q65" s="14" t="str">
        <x:v>Overlays no se mezclan con cleaning status; room IDs coherentes; 0 fetch UI.</x:v>
      </x:c>
      <x:c r="R65" s="14" t="str">
        <x:v>HK contract provisional.</x:v>
      </x:c>
      <x:c r="S65" s="14" t="str">
        <x:v>Mapper + RTL + visual.</x:v>
      </x:c>
      <x:c r="T65" s="14" t="str">
        <x:v>Vitest/RTL</x:v>
      </x:c>
      <x:c r="U65" s="14" t="str">
        <x:v>src/modules/housekeeping/*</x:v>
      </x:c>
      <x:c r="V65" s="14" t="str">
        <x:v>feature/housekeeping-board</x:v>
      </x:c>
      <x:c r="W65" s="14" t="str"/>
      <x:c r="X65" s="14" t="str"/>
      <x:c r="Y65" s="14" t="str"/>
      <x:c r="Z65" s="14" t="str"/>
    </x:row>
    <x:row r="66" ht="84" customHeight="1">
      <x:c r="A66" s="14" t="str">
        <x:v>IMP-WEB-0502</x:v>
      </x:c>
      <x:c r="B66" s="14" t="str">
        <x:v>S5 Operations</x:v>
      </x:c>
      <x:c r="C66" s="14" t="str">
        <x:v>WEB</x:v>
      </x:c>
      <x:c r="D66" s="14" t="str">
        <x:v>Privado</x:v>
      </x:c>
      <x:c r="E66" s="14" t="str">
        <x:v>WEB-3</x:v>
      </x:c>
      <x:c r="F66" s="14" t="str">
        <x:v>WEB-2</x:v>
      </x:c>
      <x:c r="G66" s="14" t="str">
        <x:v>housekeeping</x:v>
      </x:c>
      <x:c r="H66" s="14" t="str">
        <x:v>FEATURE</x:v>
      </x:c>
      <x:c r="I66" s="14" t="str">
        <x:v>ALTA</x:v>
      </x:c>
      <x:c r="J66" s="14" t="str">
        <x:v>PENDIENTE</x:v>
      </x:c>
      <x:c r="K66" s="14" t="str">
        <x:v>IMP-WEB-0501</x:v>
      </x:c>
      <x:c r="L66" s="14" t="str">
        <x:v>Housekeeping overlays</x:v>
      </x:c>
      <x:c r="M66" s="14" t="str"/>
      <x:c r="N66" s="14" t="str">
        <x:v>/housekeeping</x:v>
      </x:c>
      <x:c r="O66" s="14" t="str">
        <x:v>Implementar DND/Turndown/Pickup</x:v>
      </x:c>
      <x:c r="P66" s="14" t="str">
        <x:v>Render overlays separados; DND gate; Turndown window; Pickup; cleaning status unchanged.</x:v>
      </x:c>
      <x:c r="Q66" s="14" t="str">
        <x:v>Overlay no sustituye DIRTY/CLEAN/INSPECTED; combinaciones coherentes.</x:v>
      </x:c>
      <x:c r="R66" s="14" t="str">
        <x:v>Overlay contract listo.</x:v>
      </x:c>
      <x:c r="S66" s="14" t="str">
        <x:v>Mapper + RTL combinations.</x:v>
      </x:c>
      <x:c r="T66" s="14" t="str">
        <x:v>Vitest/RTL</x:v>
      </x:c>
      <x:c r="U66" s="14" t="str">
        <x:v>housekeeping overlays</x:v>
      </x:c>
      <x:c r="V66" s="14" t="str">
        <x:v>feature/housekeeping-overlays</x:v>
      </x:c>
      <x:c r="W66" s="14" t="str"/>
      <x:c r="X66" s="14" t="str"/>
      <x:c r="Y66" s="14" t="str"/>
      <x:c r="Z66" s="14" t="str"/>
    </x:row>
    <x:row r="67" ht="84" customHeight="1">
      <x:c r="A67" s="14" t="str">
        <x:v>IMP-WEB-0503</x:v>
      </x:c>
      <x:c r="B67" s="14" t="str">
        <x:v>S5 Operations</x:v>
      </x:c>
      <x:c r="C67" s="14" t="str">
        <x:v>WEB</x:v>
      </x:c>
      <x:c r="D67" s="14" t="str">
        <x:v>Privado</x:v>
      </x:c>
      <x:c r="E67" s="14" t="str">
        <x:v>WEB-3</x:v>
      </x:c>
      <x:c r="F67" s="14" t="str">
        <x:v>WEB-2</x:v>
      </x:c>
      <x:c r="G67" s="14" t="str">
        <x:v>housekeeping</x:v>
      </x:c>
      <x:c r="H67" s="14" t="str">
        <x:v>FEATURE</x:v>
      </x:c>
      <x:c r="I67" s="14" t="str">
        <x:v>CRÍTICA</x:v>
      </x:c>
      <x:c r="J67" s="14" t="str">
        <x:v>PENDIENTE</x:v>
      </x:c>
      <x:c r="K67" s="14" t="str">
        <x:v>IMP-WEB-0501, IMP-WEB-S302</x:v>
      </x:c>
      <x:c r="L67" s="14" t="str">
        <x:v>Inspection rejected</x:v>
      </x:c>
      <x:c r="M67" s="14" t="str"/>
      <x:c r="N67" s="14" t="str">
        <x:v>/housekeeping</x:v>
      </x:c>
      <x:c r="O67" s="14" t="str">
        <x:v>Implementar rechazo de inspección</x:v>
      </x:c>
      <x:c r="P67" s="14" t="str">
        <x:v>Supervisor selecciona room; reason obligatorio; submit devuelve a limpieza; audit/ref.</x:v>
      </x:c>
      <x:c r="Q67" s="14" t="str">
        <x:v>No INSPECTED tras rechazo; reason requerido; success refresca status.</x:v>
      </x:c>
      <x:c r="R67" s="14" t="str">
        <x:v>Contract listo.</x:v>
      </x:c>
      <x:c r="S67" s="14" t="str">
        <x:v>Success/no-reason/fail.</x:v>
      </x:c>
      <x:c r="T67" s="14" t="str">
        <x:v>Vitest/RTL</x:v>
      </x:c>
      <x:c r="U67" s="14" t="str">
        <x:v>housekeeping inspection</x:v>
      </x:c>
      <x:c r="V67" s="14" t="str">
        <x:v>feature/inspection-rejected</x:v>
      </x:c>
      <x:c r="W67" s="14" t="str"/>
      <x:c r="X67" s="14" t="str"/>
      <x:c r="Y67" s="14" t="str"/>
      <x:c r="Z67" s="14" t="str"/>
    </x:row>
    <x:row r="68" ht="84" customHeight="1">
      <x:c r="A68" s="14" t="str">
        <x:v>IMP-WEB-0504</x:v>
      </x:c>
      <x:c r="B68" s="14" t="str">
        <x:v>S5 Operations</x:v>
      </x:c>
      <x:c r="C68" s="14" t="str">
        <x:v>WEB</x:v>
      </x:c>
      <x:c r="D68" s="14" t="str">
        <x:v>Privado</x:v>
      </x:c>
      <x:c r="E68" s="14" t="str">
        <x:v>WEB-3</x:v>
      </x:c>
      <x:c r="F68" s="14" t="str">
        <x:v>WEB-2</x:v>
      </x:c>
      <x:c r="G68" s="14" t="str">
        <x:v>housekeeping</x:v>
      </x:c>
      <x:c r="H68" s="14" t="str">
        <x:v>FEATURE</x:v>
      </x:c>
      <x:c r="I68" s="14" t="str">
        <x:v>CRÍTICA</x:v>
      </x:c>
      <x:c r="J68" s="14" t="str">
        <x:v>PENDIENTE</x:v>
      </x:c>
      <x:c r="K68" s="14" t="str">
        <x:v>IMP-WEB-0501</x:v>
      </x:c>
      <x:c r="L68" s="14" t="str">
        <x:v>Room Discrepancies</x:v>
      </x:c>
      <x:c r="M68" s="14" t="str"/>
      <x:c r="N68" s="14" t="str">
        <x:v>/housekeeping/discrepancias</x:v>
      </x:c>
      <x:c r="O68" s="14" t="str">
        <x:v>Implementar Sleeper/Skipper</x:v>
      </x:c>
      <x:c r="P68" s="14" t="str">
        <x:v>Comparar FO vs HK; resolver con reason; before/after; audit.</x:v>
      </x:c>
      <x:c r="Q68" s="14" t="str">
        <x:v>FO/HK separados; no borrar history; reason obligatorio; RESOLVED solo tras success.</x:v>
      </x:c>
      <x:c r="R68" s="14" t="str">
        <x:v>Contract listo.</x:v>
      </x:c>
      <x:c r="S68" s="14" t="str">
        <x:v>Mapper + resolution integration.</x:v>
      </x:c>
      <x:c r="T68" s="14" t="str">
        <x:v>Vitest/RTL</x:v>
      </x:c>
      <x:c r="U68" s="14" t="str">
        <x:v>discrepancies route</x:v>
      </x:c>
      <x:c r="V68" s="14" t="str">
        <x:v>feature/room-discrepancies</x:v>
      </x:c>
      <x:c r="W68" s="14" t="str"/>
      <x:c r="X68" s="14" t="str"/>
      <x:c r="Y68" s="14" t="str"/>
      <x:c r="Z68" s="14" t="str"/>
    </x:row>
    <x:row r="69" ht="84" customHeight="1">
      <x:c r="A69" s="14" t="str">
        <x:v>IMP-WEB-0505</x:v>
      </x:c>
      <x:c r="B69" s="14" t="str">
        <x:v>S5 Operations</x:v>
      </x:c>
      <x:c r="C69" s="14" t="str">
        <x:v>WEB</x:v>
      </x:c>
      <x:c r="D69" s="14" t="str">
        <x:v>Privado</x:v>
      </x:c>
      <x:c r="E69" s="14" t="str">
        <x:v>WEB-3</x:v>
      </x:c>
      <x:c r="F69" s="14" t="str">
        <x:v>WEB-4</x:v>
      </x:c>
      <x:c r="G69" s="14" t="str">
        <x:v>maintenance</x:v>
      </x:c>
      <x:c r="H69" s="14" t="str">
        <x:v>FEATURE</x:v>
      </x:c>
      <x:c r="I69" s="14" t="str">
        <x:v>CRÍTICA</x:v>
      </x:c>
      <x:c r="J69" s="14" t="str">
        <x:v>PENDIENTE</x:v>
      </x:c>
      <x:c r="K69" s="14" t="str">
        <x:v>IMP-WEB-0017, IMP-WEB-S301</x:v>
      </x:c>
      <x:c r="L69" s="14" t="str">
        <x:v>Maintenance</x:v>
      </x:c>
      <x:c r="M69" s="14" t="str"/>
      <x:c r="N69" s="14" t="str">
        <x:v>/mantenimiento</x:v>
      </x:c>
      <x:c r="O69" s="14" t="str">
        <x:v>Implementar órdenes de mantenimiento</x:v>
      </x:c>
      <x:c r="P69" s="14" t="str">
        <x:v>OT room/asset/status/reason/dates; list/detail; property scope.</x:v>
      </x:c>
      <x:c r="Q69" s="14" t="str">
        <x:v>OT no vuelve vendible Room por sí sola; history visible; states complete.</x:v>
      </x:c>
      <x:c r="R69" s="14" t="str">
        <x:v>Maintenance contract provisional.</x:v>
      </x:c>
      <x:c r="S69" s="14" t="str">
        <x:v>Mapper/service + RTL.</x:v>
      </x:c>
      <x:c r="T69" s="14" t="str">
        <x:v>Vitest/RTL</x:v>
      </x:c>
      <x:c r="U69" s="14" t="str">
        <x:v>src/modules/maintenance/*</x:v>
      </x:c>
      <x:c r="V69" s="14" t="str">
        <x:v>feature/maintenance</x:v>
      </x:c>
      <x:c r="W69" s="14" t="str"/>
      <x:c r="X69" s="14" t="str"/>
      <x:c r="Y69" s="14" t="str"/>
      <x:c r="Z69" s="14" t="str"/>
    </x:row>
    <x:row r="70" ht="84" customHeight="1">
      <x:c r="A70" s="14" t="str">
        <x:v>IMP-WEB-0506</x:v>
      </x:c>
      <x:c r="B70" s="14" t="str">
        <x:v>S5 Operations</x:v>
      </x:c>
      <x:c r="C70" s="14" t="str">
        <x:v>WEB</x:v>
      </x:c>
      <x:c r="D70" s="14" t="str">
        <x:v>Privado</x:v>
      </x:c>
      <x:c r="E70" s="14" t="str">
        <x:v>WEB-3</x:v>
      </x:c>
      <x:c r="F70" s="14" t="str">
        <x:v>WEB-4</x:v>
      </x:c>
      <x:c r="G70" s="14" t="str">
        <x:v>maintenance</x:v>
      </x:c>
      <x:c r="H70" s="14" t="str">
        <x:v>FEATURE</x:v>
      </x:c>
      <x:c r="I70" s="14" t="str">
        <x:v>CRÍTICA</x:v>
      </x:c>
      <x:c r="J70" s="14" t="str">
        <x:v>PENDIENTE</x:v>
      </x:c>
      <x:c r="K70" s="14" t="str">
        <x:v>IMP-WEB-0505</x:v>
      </x:c>
      <x:c r="L70" s="14" t="str">
        <x:v>OOO vs OOS</x:v>
      </x:c>
      <x:c r="M70" s="14" t="str"/>
      <x:c r="N70" s="14" t="str">
        <x:v>/mantenimiento</x:v>
      </x:c>
      <x:c r="O70" s="14" t="str">
        <x:v>Implementar OOO/OOS diferenciados</x:v>
      </x:c>
      <x:c r="P70" s="14" t="str">
        <x:v>Type/dates/reason/impact; create/update via service; no delete Room.</x:v>
      </x:c>
      <x:c r="Q70" s="14" t="str">
        <x:v>OOO y OOS distintos; ambos preservan dates/reason; availability refresh.</x:v>
      </x:c>
      <x:c r="R70" s="14" t="str">
        <x:v>OOO/OOS contract listo.</x:v>
      </x:c>
      <x:c r="S70" s="14" t="str">
        <x:v>Status mapping + integration.</x:v>
      </x:c>
      <x:c r="T70" s="14" t="str">
        <x:v>Vitest/RTL</x:v>
      </x:c>
      <x:c r="U70" s="14" t="str">
        <x:v>maintenance room status</x:v>
      </x:c>
      <x:c r="V70" s="14" t="str">
        <x:v>feature/ooo-oos</x:v>
      </x:c>
      <x:c r="W70" s="14" t="str"/>
      <x:c r="X70" s="14" t="str"/>
      <x:c r="Y70" s="14" t="str"/>
      <x:c r="Z70" s="14" t="str"/>
    </x:row>
    <x:row r="71" ht="84" customHeight="1">
      <x:c r="A71" s="14" t="str">
        <x:v>IMP-WEB-0507</x:v>
      </x:c>
      <x:c r="B71" s="14" t="str">
        <x:v>S5 Operations</x:v>
      </x:c>
      <x:c r="C71" s="14" t="str">
        <x:v>WEB</x:v>
      </x:c>
      <x:c r="D71" s="14" t="str">
        <x:v>Privado</x:v>
      </x:c>
      <x:c r="E71" s="14" t="str">
        <x:v>WEB-3</x:v>
      </x:c>
      <x:c r="F71" s="14" t="str">
        <x:v>WEB-4</x:v>
      </x:c>
      <x:c r="G71" s="14" t="str">
        <x:v>maintenance/housekeeping</x:v>
      </x:c>
      <x:c r="H71" s="14" t="str">
        <x:v>FEATURE</x:v>
      </x:c>
      <x:c r="I71" s="14" t="str">
        <x:v>CRÍTICA</x:v>
      </x:c>
      <x:c r="J71" s="14" t="str">
        <x:v>PENDIENTE</x:v>
      </x:c>
      <x:c r="K71" s="14" t="str">
        <x:v>IMP-WEB-0506, IMP-WEB-0501</x:v>
      </x:c>
      <x:c r="L71" s="14" t="str">
        <x:v>Maintenance release / HK readiness</x:v>
      </x:c>
      <x:c r="M71" s="14" t="str"/>
      <x:c r="N71" s="14" t="str">
        <x:v>/mantenimiento</x:v>
      </x:c>
      <x:c r="O71" s="14" t="str">
        <x:v>Implementar gate de readiness</x:v>
      </x:c>
      <x:c r="P71" s="14" t="str">
        <x:v>Resolver OT; si HK pendiente mostrar not sellable; release solo gates PASS.</x:v>
      </x:c>
      <x:c r="Q71" s="14" t="str">
        <x:v>Resolve OT != sellable; availability cambia solo tras readiness/release.</x:v>
      </x:c>
      <x:c r="R71" s="14" t="str">
        <x:v>Contracts Maintenance/HK/Availability listos.</x:v>
      </x:c>
      <x:c r="S71" s="14" t="str">
        <x:v>Integration gate cases.</x:v>
      </x:c>
      <x:c r="T71" s="14" t="str">
        <x:v>Vitest/RTL</x:v>
      </x:c>
      <x:c r="U71" s="14" t="str">
        <x:v>maintenance readiness</x:v>
      </x:c>
      <x:c r="V71" s="14" t="str">
        <x:v>feature/maintenance-readiness</x:v>
      </x:c>
      <x:c r="W71" s="14" t="str"/>
      <x:c r="X71" s="14" t="str"/>
      <x:c r="Y71" s="14" t="str"/>
      <x:c r="Z71" s="14" t="str"/>
    </x:row>
    <x:row r="72" ht="84" customHeight="1">
      <x:c r="A72" s="14" t="str">
        <x:v>IMP-WEB-0508</x:v>
      </x:c>
      <x:c r="B72" s="14" t="str">
        <x:v>S5 Operations</x:v>
      </x:c>
      <x:c r="C72" s="14" t="str">
        <x:v>WEB</x:v>
      </x:c>
      <x:c r="D72" s="14" t="str">
        <x:v>Privado</x:v>
      </x:c>
      <x:c r="E72" s="14" t="str">
        <x:v>WEB-3</x:v>
      </x:c>
      <x:c r="F72" s="14" t="str">
        <x:v>WEB-2</x:v>
      </x:c>
      <x:c r="G72" s="14" t="str">
        <x:v>concierge</x:v>
      </x:c>
      <x:c r="H72" s="14" t="str">
        <x:v>FEATURE</x:v>
      </x:c>
      <x:c r="I72" s="14" t="str">
        <x:v>MEDIA</x:v>
      </x:c>
      <x:c r="J72" s="14" t="str">
        <x:v>PENDIENTE</x:v>
      </x:c>
      <x:c r="K72" s="14" t="str">
        <x:v>IMP-WEB-0017</x:v>
      </x:c>
      <x:c r="L72" s="14" t="str">
        <x:v>Operations — Conserjería</x:v>
      </x:c>
      <x:c r="M72" s="14" t="str"/>
      <x:c r="N72" s="14" t="str">
        <x:v>/conserjeria</x:v>
      </x:c>
      <x:c r="O72" s="14" t="str">
        <x:v>Implementar cola interna Conserjería</x:v>
      </x:c>
      <x:c r="P72" s="14" t="str">
        <x:v>Tasks internas; guest/reservation refs; status; handoff a Recepción para comunicación.</x:v>
      </x:c>
      <x:c r="Q72" s="14" t="str">
        <x:v>No direct external message from Conserjería; property scope; states complete.</x:v>
      </x:c>
      <x:c r="R72" s="14" t="str">
        <x:v>Concierge contract provisional.</x:v>
      </x:c>
      <x:c r="S72" s="14" t="str">
        <x:v>RTL + role review.</x:v>
      </x:c>
      <x:c r="T72" s="14" t="str">
        <x:v>Vitest/RTL</x:v>
      </x:c>
      <x:c r="U72" s="14" t="str">
        <x:v>src/modules/concierge/*</x:v>
      </x:c>
      <x:c r="V72" s="14" t="str">
        <x:v>feature/concierge</x:v>
      </x:c>
      <x:c r="W72" s="14" t="str"/>
      <x:c r="X72" s="14" t="str"/>
      <x:c r="Y72" s="14" t="str"/>
      <x:c r="Z72" s="14" t="str"/>
    </x:row>
    <x:row r="73" ht="84" customHeight="1">
      <x:c r="A73" s="14" t="str">
        <x:v>IMP-WEB-0509</x:v>
      </x:c>
      <x:c r="B73" s="14" t="str">
        <x:v>S5 Operations</x:v>
      </x:c>
      <x:c r="C73" s="14" t="str">
        <x:v>WEB</x:v>
      </x:c>
      <x:c r="D73" s="14" t="str">
        <x:v>QA</x:v>
      </x:c>
      <x:c r="E73" s="14" t="str">
        <x:v>WEB-3</x:v>
      </x:c>
      <x:c r="F73" s="14" t="str">
        <x:v>WEB-4</x:v>
      </x:c>
      <x:c r="G73" s="14" t="str">
        <x:v>operations</x:v>
      </x:c>
      <x:c r="H73" s="14" t="str">
        <x:v>QA</x:v>
      </x:c>
      <x:c r="I73" s="14" t="str">
        <x:v>CRÍTICA</x:v>
      </x:c>
      <x:c r="J73" s="14" t="str">
        <x:v>PENDIENTE</x:v>
      </x:c>
      <x:c r="K73" s="14" t="str">
        <x:v>IMP-WEB-0502, IMP-WEB-0503, IMP-WEB-0504, IMP-WEB-0506, IMP-WEB-0507, IMP-WEB-0508</x:v>
      </x:c>
      <x:c r="L73" s="14" t="str">
        <x:v>V3 — 03 Operations</x:v>
      </x:c>
      <x:c r="M73" s="14" t="str"/>
      <x:c r="N73" s="14" t="str">
        <x:v>/housekeeping /mantenimiento /conserjeria</x:v>
      </x:c>
      <x:c r="O73" s="14" t="str">
        <x:v>QA Operations</x:v>
      </x:c>
      <x:c r="P73" s="14" t="str">
        <x:v>Cleaning lifecycle, overlays, inspection, discrepancy, maintenance, OOO/OOS, readiness, messaging boundary.</x:v>
      </x:c>
      <x:c r="Q73" s="14" t="str">
        <x:v>0 overlay-as-status; 0 auto-sellable; reasons/audit; role/sidebar PASS.</x:v>
      </x:c>
      <x:c r="R73" s="14" t="str">
        <x:v>S5 core completo.</x:v>
      </x:c>
      <x:c r="S73" s="14" t="str">
        <x:v>Global DoD + ops regression.</x:v>
      </x:c>
      <x:c r="T73" s="14" t="str">
        <x:v>npm run check + manual</x:v>
      </x:c>
      <x:c r="U73" s="14" t="str">
        <x:v>S5</x:v>
      </x:c>
      <x:c r="V73" s="14" t="str">
        <x:v>test/operations-regression</x:v>
      </x:c>
      <x:c r="W73" s="14" t="str"/>
      <x:c r="X73" s="14" t="str"/>
      <x:c r="Y73" s="14" t="str"/>
      <x:c r="Z73" s="14" t="str"/>
    </x:row>
    <x:row r="74" ht="84" customHeight="1">
      <x:c r="A74" s="14" t="str">
        <x:v>IMP-WEB-0601</x:v>
      </x:c>
      <x:c r="B74" s="14" t="str">
        <x:v>S6 Commercial &amp; Revenue</x:v>
      </x:c>
      <x:c r="C74" s="14" t="str">
        <x:v>WEB</x:v>
      </x:c>
      <x:c r="D74" s="14" t="str">
        <x:v>Privado</x:v>
      </x:c>
      <x:c r="E74" s="14" t="str">
        <x:v>WEB-4</x:v>
      </x:c>
      <x:c r="F74" s="14" t="str">
        <x:v>WEB-1</x:v>
      </x:c>
      <x:c r="G74" s="14" t="str">
        <x:v>availability</x:v>
      </x:c>
      <x:c r="H74" s="14" t="str">
        <x:v>FEATURE</x:v>
      </x:c>
      <x:c r="I74" s="14" t="str">
        <x:v>CRÍTICA</x:v>
      </x:c>
      <x:c r="J74" s="14" t="str">
        <x:v>PENDIENTE</x:v>
      </x:c>
      <x:c r="K74" s="14" t="str">
        <x:v>IMP-WEB-0017, IMP-WEB-S301</x:v>
      </x:c>
      <x:c r="L74" s="14" t="str">
        <x:v>V3 — 04 Commercial / Availability / Revenue</x:v>
      </x:c>
      <x:c r="M74" s="14" t="str"/>
      <x:c r="N74" s="14" t="str">
        <x:v>/availability</x:v>
      </x:c>
      <x:c r="O74" s="14" t="str">
        <x:v>Implementar matriz ATS</x:v>
      </x:c>
      <x:c r="P74" s="14" t="str">
        <x:v>Daily roomType/property/date; sold/OOO/OOS/ATS; filters; no Room delete.</x:v>
      </x:c>
      <x:c r="Q74" s="14" t="str">
        <x:v>ATS coherente; no contar Reservation incorrectamente; property scope.</x:v>
      </x:c>
      <x:c r="R74" s="14" t="str">
        <x:v>Availability contract confirmado.</x:v>
      </x:c>
      <x:c r="S74" s="14" t="str">
        <x:v>Math mapper + RTL.</x:v>
      </x:c>
      <x:c r="T74" s="14" t="str">
        <x:v>Vitest/RTL</x:v>
      </x:c>
      <x:c r="U74" s="14" t="str">
        <x:v>availability private</x:v>
      </x:c>
      <x:c r="V74" s="14" t="str">
        <x:v>feature/availability-matrix</x:v>
      </x:c>
      <x:c r="W74" s="14" t="str"/>
      <x:c r="X74" s="14" t="str"/>
      <x:c r="Y74" s="14" t="str"/>
      <x:c r="Z74" s="14" t="str"/>
    </x:row>
    <x:row r="75" ht="84" customHeight="1">
      <x:c r="A75" s="14" t="str">
        <x:v>IMP-WEB-0602</x:v>
      </x:c>
      <x:c r="B75" s="14" t="str">
        <x:v>S6 Commercial &amp; Revenue</x:v>
      </x:c>
      <x:c r="C75" s="14" t="str">
        <x:v>WEB</x:v>
      </x:c>
      <x:c r="D75" s="14" t="str">
        <x:v>Privado</x:v>
      </x:c>
      <x:c r="E75" s="14" t="str">
        <x:v>WEB-4</x:v>
      </x:c>
      <x:c r="F75" s="14" t="str">
        <x:v>WEB-1</x:v>
      </x:c>
      <x:c r="G75" s="14" t="str">
        <x:v>rates</x:v>
      </x:c>
      <x:c r="H75" s="14" t="str">
        <x:v>FEATURE</x:v>
      </x:c>
      <x:c r="I75" s="14" t="str">
        <x:v>CRÍTICA</x:v>
      </x:c>
      <x:c r="J75" s="14" t="str">
        <x:v>PENDIENTE</x:v>
      </x:c>
      <x:c r="K75" s="14" t="str">
        <x:v>IMP-WEB-0017</x:v>
      </x:c>
      <x:c r="L75" s="14" t="str">
        <x:v>Rates</x:v>
      </x:c>
      <x:c r="M75" s="14" t="str"/>
      <x:c r="N75" s="14" t="str">
        <x:v>/revenue/rates</x:v>
      </x:c>
      <x:c r="O75" s="14" t="str">
        <x:v>Implementar RatePlan list/detail</x:v>
      </x:c>
      <x:c r="P75" s="14" t="str">
        <x:v>RatePlan Domain; rules/status/property; no inventory ownership.</x:v>
      </x:c>
      <x:c r="Q75" s="14" t="str">
        <x:v>RatePlan no contiene physical inventory; states/filters correctos.</x:v>
      </x:c>
      <x:c r="R75" s="14" t="str">
        <x:v>Rate contract provisional.</x:v>
      </x:c>
      <x:c r="S75" s="14" t="str">
        <x:v>Mapper + RTL.</x:v>
      </x:c>
      <x:c r="T75" s="14" t="str">
        <x:v>Vitest/RTL</x:v>
      </x:c>
      <x:c r="U75" s="14" t="str">
        <x:v>src/modules/rates/*</x:v>
      </x:c>
      <x:c r="V75" s="14" t="str">
        <x:v>feature/rate-plans</x:v>
      </x:c>
      <x:c r="W75" s="14" t="str"/>
      <x:c r="X75" s="14" t="str"/>
      <x:c r="Y75" s="14" t="str"/>
      <x:c r="Z75" s="14" t="str"/>
    </x:row>
    <x:row r="76" ht="84" customHeight="1">
      <x:c r="A76" s="14" t="str">
        <x:v>IMP-WEB-0603</x:v>
      </x:c>
      <x:c r="B76" s="14" t="str">
        <x:v>S6 Commercial &amp; Revenue</x:v>
      </x:c>
      <x:c r="C76" s="14" t="str">
        <x:v>WEB</x:v>
      </x:c>
      <x:c r="D76" s="14" t="str">
        <x:v>Privado</x:v>
      </x:c>
      <x:c r="E76" s="14" t="str">
        <x:v>WEB-4</x:v>
      </x:c>
      <x:c r="F76" s="14" t="str">
        <x:v>WEB-3</x:v>
      </x:c>
      <x:c r="G76" s="14" t="str">
        <x:v>rates</x:v>
      </x:c>
      <x:c r="H76" s="14" t="str">
        <x:v>FEATURE</x:v>
      </x:c>
      <x:c r="I76" s="14" t="str">
        <x:v>ALTA</x:v>
      </x:c>
      <x:c r="J76" s="14" t="str">
        <x:v>PENDIENTE</x:v>
      </x:c>
      <x:c r="K76" s="14" t="str">
        <x:v>IMP-WEB-0602</x:v>
      </x:c>
      <x:c r="L76" s="14" t="str">
        <x:v>Restrictions</x:v>
      </x:c>
      <x:c r="M76" s="14" t="str"/>
      <x:c r="N76" s="14" t="str">
        <x:v>/revenue/restrictions</x:v>
      </x:c>
      <x:c r="O76" s="14" t="str">
        <x:v>Implementar CTA/CTD/MinLOS/Stop Sell</x:v>
      </x:c>
      <x:c r="P76" s="14" t="str">
        <x:v>Grid/date controls; preview/apply; no optimistic commit.</x:v>
      </x:c>
      <x:c r="Q76" s="14" t="str">
        <x:v>Restriction scope correcto; failure no altera success UI.</x:v>
      </x:c>
      <x:c r="R76" s="14" t="str">
        <x:v>Restriction contract listo.</x:v>
      </x:c>
      <x:c r="S76" s="14" t="str">
        <x:v>Service/mapper + RTL edit.</x:v>
      </x:c>
      <x:c r="T76" s="14" t="str">
        <x:v>Vitest/RTL</x:v>
      </x:c>
      <x:c r="U76" s="14" t="str">
        <x:v>rate restrictions</x:v>
      </x:c>
      <x:c r="V76" s="14" t="str">
        <x:v>feature/restrictions</x:v>
      </x:c>
      <x:c r="W76" s="14" t="str"/>
      <x:c r="X76" s="14" t="str"/>
      <x:c r="Y76" s="14" t="str"/>
      <x:c r="Z76" s="14" t="str"/>
    </x:row>
    <x:row r="77" ht="84" customHeight="1">
      <x:c r="A77" s="14" t="str">
        <x:v>IMP-WEB-0604</x:v>
      </x:c>
      <x:c r="B77" s="14" t="str">
        <x:v>S6 Commercial &amp; Revenue</x:v>
      </x:c>
      <x:c r="C77" s="14" t="str">
        <x:v>WEB</x:v>
      </x:c>
      <x:c r="D77" s="14" t="str">
        <x:v>Privado</x:v>
      </x:c>
      <x:c r="E77" s="14" t="str">
        <x:v>WEB-4</x:v>
      </x:c>
      <x:c r="F77" s="14" t="str">
        <x:v>WEB-3</x:v>
      </x:c>
      <x:c r="G77" s="14" t="str">
        <x:v>inventory</x:v>
      </x:c>
      <x:c r="H77" s="14" t="str">
        <x:v>FEATURE</x:v>
      </x:c>
      <x:c r="I77" s="14" t="str">
        <x:v>ALTA</x:v>
      </x:c>
      <x:c r="J77" s="14" t="str">
        <x:v>PENDIENTE</x:v>
      </x:c>
      <x:c r="K77" s="14" t="str">
        <x:v>IMP-WEB-0601</x:v>
      </x:c>
      <x:c r="L77" s="14" t="str">
        <x:v>Sell limits / overbooking</x:v>
      </x:c>
      <x:c r="M77" s="14" t="str"/>
      <x:c r="N77" s="14" t="str">
        <x:v>/availability</x:v>
      </x:c>
      <x:c r="O77" s="14" t="str">
        <x:v>Implementar sell limits/overbooking</x:v>
      </x:c>
      <x:c r="P77" s="14" t="str">
        <x:v>Base capacity, adjustment/limit, resulting ATS; edit by permission.</x:v>
      </x:c>
      <x:c r="Q77" s="14" t="str">
        <x:v>Physical Room count unchanged; ATS recalculated.</x:v>
      </x:c>
      <x:c r="R77" s="14" t="str">
        <x:v>Inventory adjustment contract listo.</x:v>
      </x:c>
      <x:c r="S77" s="14" t="str">
        <x:v>Calculation tests + RTL.</x:v>
      </x:c>
      <x:c r="T77" s="14" t="str">
        <x:v>Vitest/RTL</x:v>
      </x:c>
      <x:c r="U77" s="14" t="str">
        <x:v>src/modules/inventory/*</x:v>
      </x:c>
      <x:c r="V77" s="14" t="str">
        <x:v>feature/sell-limits</x:v>
      </x:c>
      <x:c r="W77" s="14" t="str"/>
      <x:c r="X77" s="14" t="str"/>
      <x:c r="Y77" s="14" t="str"/>
      <x:c r="Z77" s="14" t="str"/>
    </x:row>
    <x:row r="78" ht="84" customHeight="1">
      <x:c r="A78" s="14" t="str">
        <x:v>IMP-WEB-0605</x:v>
      </x:c>
      <x:c r="B78" s="14" t="str">
        <x:v>S6 Commercial &amp; Revenue</x:v>
      </x:c>
      <x:c r="C78" s="14" t="str">
        <x:v>WEB</x:v>
      </x:c>
      <x:c r="D78" s="14" t="str">
        <x:v>Privado</x:v>
      </x:c>
      <x:c r="E78" s="14" t="str">
        <x:v>WEB-4</x:v>
      </x:c>
      <x:c r="F78" s="14" t="str">
        <x:v>WEB-3</x:v>
      </x:c>
      <x:c r="G78" s="14" t="str">
        <x:v>revenue</x:v>
      </x:c>
      <x:c r="H78" s="14" t="str">
        <x:v>FEATURE</x:v>
      </x:c>
      <x:c r="I78" s="14" t="str">
        <x:v>ALTA</x:v>
      </x:c>
      <x:c r="J78" s="14" t="str">
        <x:v>PENDIENTE</x:v>
      </x:c>
      <x:c r="K78" s="14" t="str">
        <x:v>IMP-WEB-0601, IMP-WEB-0602</x:v>
      </x:c>
      <x:c r="L78" s="14" t="str">
        <x:v>Revenue dashboard</x:v>
      </x:c>
      <x:c r="M78" s="14" t="str"/>
      <x:c r="N78" s="14" t="str">
        <x:v>/revenue</x:v>
      </x:c>
      <x:c r="O78" s="14" t="str">
        <x:v>Implementar Revenue KPIs</x:v>
      </x:c>
      <x:c r="P78" s="14" t="str">
        <x:v>Occupancy/ADR/RevPAR/pickup/pace; property/date filters; loading/error.</x:v>
      </x:c>
      <x:c r="Q78" s="14" t="str">
        <x:v>Currency/date scope clear; aggregate after per-property calc.</x:v>
      </x:c>
      <x:c r="R78" s="14" t="str">
        <x:v>Revenue read model listo.</x:v>
      </x:c>
      <x:c r="S78" s="14" t="str">
        <x:v>Mapper fixtures + RTL.</x:v>
      </x:c>
      <x:c r="T78" s="14" t="str">
        <x:v>Vitest/RTL</x:v>
      </x:c>
      <x:c r="U78" s="14" t="str">
        <x:v>src/modules/revenue/*</x:v>
      </x:c>
      <x:c r="V78" s="14" t="str">
        <x:v>feature/revenue-dashboard</x:v>
      </x:c>
      <x:c r="W78" s="14" t="str"/>
      <x:c r="X78" s="14" t="str"/>
      <x:c r="Y78" s="14" t="str"/>
      <x:c r="Z78" s="14" t="str"/>
    </x:row>
    <x:row r="79" ht="84" customHeight="1">
      <x:c r="A79" s="14" t="str">
        <x:v>IMP-WEB-0606</x:v>
      </x:c>
      <x:c r="B79" s="14" t="str">
        <x:v>S6 Commercial &amp; Revenue</x:v>
      </x:c>
      <x:c r="C79" s="14" t="str">
        <x:v>WEB</x:v>
      </x:c>
      <x:c r="D79" s="14" t="str">
        <x:v>Privado</x:v>
      </x:c>
      <x:c r="E79" s="14" t="str">
        <x:v>WEB-4</x:v>
      </x:c>
      <x:c r="F79" s="14" t="str">
        <x:v>WEB-3</x:v>
      </x:c>
      <x:c r="G79" s="14" t="str">
        <x:v>revenue</x:v>
      </x:c>
      <x:c r="H79" s="14" t="str">
        <x:v>FEATURE</x:v>
      </x:c>
      <x:c r="I79" s="14" t="str">
        <x:v>ALTA</x:v>
      </x:c>
      <x:c r="J79" s="14" t="str">
        <x:v>PENDIENTE</x:v>
      </x:c>
      <x:c r="K79" s="14" t="str">
        <x:v>IMP-WEB-0605</x:v>
      </x:c>
      <x:c r="L79" s="14" t="str">
        <x:v>Pickup/Pace/Forecast</x:v>
      </x:c>
      <x:c r="M79" s="14" t="str"/>
      <x:c r="N79" s="14" t="str">
        <x:v>/revenue</x:v>
      </x:c>
      <x:c r="O79" s="14" t="str">
        <x:v>Implementar tendencias Revenue</x:v>
      </x:c>
      <x:c r="P79" s="14" t="str">
        <x:v>Pickup/pace/forecast series; actual vs forecast distinguibles; filters.</x:v>
      </x:c>
      <x:c r="Q79" s="14" t="str">
        <x:v>Group pickup no se confunde con property pickup; forecast no mostrado como actual.</x:v>
      </x:c>
      <x:c r="R79" s="14" t="str">
        <x:v>Contracts listos.</x:v>
      </x:c>
      <x:c r="S79" s="14" t="str">
        <x:v>Mapper + visual.</x:v>
      </x:c>
      <x:c r="T79" s="14" t="str">
        <x:v>Vitest/RTL</x:v>
      </x:c>
      <x:c r="U79" s="14" t="str">
        <x:v>revenue trends</x:v>
      </x:c>
      <x:c r="V79" s="14" t="str">
        <x:v>feature/revenue-trends</x:v>
      </x:c>
      <x:c r="W79" s="14" t="str"/>
      <x:c r="X79" s="14" t="str"/>
      <x:c r="Y79" s="14" t="str"/>
      <x:c r="Z79" s="14" t="str"/>
    </x:row>
    <x:row r="80" ht="84" customHeight="1">
      <x:c r="A80" s="14" t="str">
        <x:v>IMP-WEB-0607</x:v>
      </x:c>
      <x:c r="B80" s="14" t="str">
        <x:v>S6 Commercial &amp; Revenue</x:v>
      </x:c>
      <x:c r="C80" s="14" t="str">
        <x:v>WEB</x:v>
      </x:c>
      <x:c r="D80" s="14" t="str">
        <x:v>Privado</x:v>
      </x:c>
      <x:c r="E80" s="14" t="str">
        <x:v>WEB-4</x:v>
      </x:c>
      <x:c r="F80" s="14" t="str">
        <x:v>WEB-3</x:v>
      </x:c>
      <x:c r="G80" s="14" t="str">
        <x:v>channels</x:v>
      </x:c>
      <x:c r="H80" s="14" t="str">
        <x:v>FEATURE</x:v>
      </x:c>
      <x:c r="I80" s="14" t="str">
        <x:v>MEDIA</x:v>
      </x:c>
      <x:c r="J80" s="14" t="str">
        <x:v>PENDIENTE</x:v>
      </x:c>
      <x:c r="K80" s="14" t="str">
        <x:v>IMP-WEB-0605</x:v>
      </x:c>
      <x:c r="L80" s="14" t="str">
        <x:v>Channel mix</x:v>
      </x:c>
      <x:c r="M80" s="14" t="str"/>
      <x:c r="N80" s="14" t="str">
        <x:v>/revenue/channels</x:v>
      </x:c>
      <x:c r="O80" s="14" t="str">
        <x:v>Implementar Channel Mix</x:v>
      </x:c>
      <x:c r="P80" s="14" t="str">
        <x:v>Distribución por source/channel; totals/percentages; property/date filters.</x:v>
      </x:c>
      <x:c r="Q80" s="14" t="str">
        <x:v>Totales=100% cuando aplica; unknown no se fusiona silenciosamente.</x:v>
      </x:c>
      <x:c r="R80" s="14" t="str">
        <x:v>Channel contract listo.</x:v>
      </x:c>
      <x:c r="S80" s="14" t="str">
        <x:v>Totals + RTL.</x:v>
      </x:c>
      <x:c r="T80" s="14" t="str">
        <x:v>Vitest/RTL</x:v>
      </x:c>
      <x:c r="U80" s="14" t="str">
        <x:v>src/modules/channels/*</x:v>
      </x:c>
      <x:c r="V80" s="14" t="str">
        <x:v>feature/channel-mix</x:v>
      </x:c>
      <x:c r="W80" s="14" t="str"/>
      <x:c r="X80" s="14" t="str"/>
      <x:c r="Y80" s="14" t="str"/>
      <x:c r="Z80" s="14" t="str"/>
    </x:row>
    <x:row r="81" ht="84" customHeight="1">
      <x:c r="A81" s="14" t="str">
        <x:v>IMP-WEB-0608</x:v>
      </x:c>
      <x:c r="B81" s="14" t="str">
        <x:v>S6 Commercial &amp; Revenue</x:v>
      </x:c>
      <x:c r="C81" s="14" t="str">
        <x:v>WEB</x:v>
      </x:c>
      <x:c r="D81" s="14" t="str">
        <x:v>QA</x:v>
      </x:c>
      <x:c r="E81" s="14" t="str">
        <x:v>WEB-4</x:v>
      </x:c>
      <x:c r="F81" s="14" t="str">
        <x:v>WEB-1</x:v>
      </x:c>
      <x:c r="G81" s="14" t="str">
        <x:v>commercial</x:v>
      </x:c>
      <x:c r="H81" s="14" t="str">
        <x:v>QA</x:v>
      </x:c>
      <x:c r="I81" s="14" t="str">
        <x:v>CRÍTICA</x:v>
      </x:c>
      <x:c r="J81" s="14" t="str">
        <x:v>PENDIENTE</x:v>
      </x:c>
      <x:c r="K81" s="14" t="str">
        <x:v>IMP-WEB-0601, IMP-WEB-0603, IMP-WEB-0604, IMP-WEB-0605, IMP-WEB-0606, IMP-WEB-0607</x:v>
      </x:c>
      <x:c r="L81" s="14" t="str">
        <x:v>V3 — 04 Commercial / Availability / Revenue</x:v>
      </x:c>
      <x:c r="M81" s="14" t="str"/>
      <x:c r="N81" s="14" t="str">
        <x:v>/availability /revenue*</x:v>
      </x:c>
      <x:c r="O81" s="14" t="str">
        <x:v>QA Commercial/Revenue</x:v>
      </x:c>
      <x:c r="P81" s="14" t="str">
        <x:v>ATS/rate separation/restrictions/sell limits/metrics/property scope.</x:v>
      </x:c>
      <x:c r="Q81" s="14" t="str">
        <x:v>0 physical inventory mutation; metrics coherent; public availability compatible.</x:v>
      </x:c>
      <x:c r="R81" s="14" t="str">
        <x:v>S6 core completo.</x:v>
      </x:c>
      <x:c r="S81" s="14" t="str">
        <x:v>Global DoD + calc tests.</x:v>
      </x:c>
      <x:c r="T81" s="14" t="str">
        <x:v>npm run check + regression</x:v>
      </x:c>
      <x:c r="U81" s="14" t="str">
        <x:v>S6</x:v>
      </x:c>
      <x:c r="V81" s="14" t="str">
        <x:v>test/commercial-regression</x:v>
      </x:c>
      <x:c r="W81" s="14" t="str"/>
      <x:c r="X81" s="14" t="str"/>
      <x:c r="Y81" s="14" t="str"/>
      <x:c r="Z81" s="14" t="str"/>
    </x:row>
    <x:row r="82" ht="84" customHeight="1">
      <x:c r="A82" s="14" t="str">
        <x:v>IMP-WEB-0701</x:v>
      </x:c>
      <x:c r="B82" s="14" t="str">
        <x:v>S7 B2B &amp; Groups</x:v>
      </x:c>
      <x:c r="C82" s="14" t="str">
        <x:v>WEB</x:v>
      </x:c>
      <x:c r="D82" s="14" t="str">
        <x:v>Privado</x:v>
      </x:c>
      <x:c r="E82" s="14" t="str">
        <x:v>WEB-3</x:v>
      </x:c>
      <x:c r="F82" s="14" t="str">
        <x:v>WEB-4</x:v>
      </x:c>
      <x:c r="G82" s="14" t="str">
        <x:v>companies</x:v>
      </x:c>
      <x:c r="H82" s="14" t="str">
        <x:v>FEATURE</x:v>
      </x:c>
      <x:c r="I82" s="14" t="str">
        <x:v>ALTA</x:v>
      </x:c>
      <x:c r="J82" s="14" t="str">
        <x:v>PENDIENTE</x:v>
      </x:c>
      <x:c r="K82" s="14" t="str">
        <x:v>IMP-WEB-0017, IMP-WEB-S301</x:v>
      </x:c>
      <x:c r="L82" s="14" t="str">
        <x:v>V3 — 05 B2B / Groups</x:v>
      </x:c>
      <x:c r="M82" s="14" t="str"/>
      <x:c r="N82" s="14" t="str">
        <x:v>/empresas</x:v>
      </x:c>
      <x:c r="O82" s="14" t="str">
        <x:v>Implementar Company list/detail</x:v>
      </x:c>
      <x:c r="P82" s="14" t="str">
        <x:v>Company Domain; agreements/credit/direct bill summary; property scope.</x:v>
      </x:c>
      <x:c r="Q82" s="14" t="str">
        <x:v>Company != Guest/Payer; direct bill no auto-approved; states complete.</x:v>
      </x:c>
      <x:c r="R82" s="14" t="str">
        <x:v>Company contract provisional.</x:v>
      </x:c>
      <x:c r="S82" s="14" t="str">
        <x:v>Mapper/service + RTL.</x:v>
      </x:c>
      <x:c r="T82" s="14" t="str">
        <x:v>Vitest/RTL</x:v>
      </x:c>
      <x:c r="U82" s="14" t="str">
        <x:v>src/modules/companies/*</x:v>
      </x:c>
      <x:c r="V82" s="14" t="str">
        <x:v>feature/companies</x:v>
      </x:c>
      <x:c r="W82" s="14" t="str"/>
      <x:c r="X82" s="14" t="str"/>
      <x:c r="Y82" s="14" t="str"/>
      <x:c r="Z82" s="14" t="str"/>
    </x:row>
    <x:row r="83" ht="84" customHeight="1">
      <x:c r="A83" s="14" t="str">
        <x:v>IMP-WEB-0702</x:v>
      </x:c>
      <x:c r="B83" s="14" t="str">
        <x:v>S7 B2B &amp; Groups</x:v>
      </x:c>
      <x:c r="C83" s="14" t="str">
        <x:v>WEB</x:v>
      </x:c>
      <x:c r="D83" s="14" t="str">
        <x:v>Privado</x:v>
      </x:c>
      <x:c r="E83" s="14" t="str">
        <x:v>WEB-3</x:v>
      </x:c>
      <x:c r="F83" s="14" t="str">
        <x:v>WEB-4</x:v>
      </x:c>
      <x:c r="G83" s="14" t="str">
        <x:v>companies/rates</x:v>
      </x:c>
      <x:c r="H83" s="14" t="str">
        <x:v>FEATURE</x:v>
      </x:c>
      <x:c r="I83" s="14" t="str">
        <x:v>ALTA</x:v>
      </x:c>
      <x:c r="J83" s="14" t="str">
        <x:v>PENDIENTE</x:v>
      </x:c>
      <x:c r="K83" s="14" t="str">
        <x:v>IMP-WEB-0701, IMP-WEB-0602</x:v>
      </x:c>
      <x:c r="L83" s="14" t="str">
        <x:v>Negotiated rates</x:v>
      </x:c>
      <x:c r="M83" s="14" t="str"/>
      <x:c r="N83" s="14" t="str">
        <x:v>/empresas/[companyId]</x:v>
      </x:c>
      <x:c r="O83" s="14" t="str">
        <x:v>Implementar negotiated rates</x:v>
      </x:c>
      <x:c r="P83" s="14" t="str">
        <x:v>Rates por Company+Property+vigencia; link RatePlan.</x:v>
      </x:c>
      <x:c r="Q83" s="14" t="str">
        <x:v>Rate solo en property acordada; expired/inactive visible; no inventory ownership.</x:v>
      </x:c>
      <x:c r="R83" s="14" t="str">
        <x:v>Company+Rate APIs listos.</x:v>
      </x:c>
      <x:c r="S83" s="14" t="str">
        <x:v>RTL + mapper.</x:v>
      </x:c>
      <x:c r="T83" s="14" t="str">
        <x:v>Vitest/RTL</x:v>
      </x:c>
      <x:c r="U83" s="14" t="str">
        <x:v>company negotiated rates</x:v>
      </x:c>
      <x:c r="V83" s="14" t="str">
        <x:v>feature/company-negotiated-rates</x:v>
      </x:c>
      <x:c r="W83" s="14" t="str"/>
      <x:c r="X83" s="14" t="str"/>
      <x:c r="Y83" s="14" t="str"/>
      <x:c r="Z83" s="14" t="str"/>
    </x:row>
    <x:row r="84" ht="84" customHeight="1">
      <x:c r="A84" s="14" t="str">
        <x:v>IMP-WEB-0703</x:v>
      </x:c>
      <x:c r="B84" s="14" t="str">
        <x:v>S7 B2B &amp; Groups</x:v>
      </x:c>
      <x:c r="C84" s="14" t="str">
        <x:v>WEB</x:v>
      </x:c>
      <x:c r="D84" s="14" t="str">
        <x:v>Privado</x:v>
      </x:c>
      <x:c r="E84" s="14" t="str">
        <x:v>WEB-3</x:v>
      </x:c>
      <x:c r="F84" s="14" t="str">
        <x:v>WEB-4</x:v>
      </x:c>
      <x:c r="G84" s="14" t="str">
        <x:v>agencies</x:v>
      </x:c>
      <x:c r="H84" s="14" t="str">
        <x:v>FEATURE</x:v>
      </x:c>
      <x:c r="I84" s="14" t="str">
        <x:v>ALTA</x:v>
      </x:c>
      <x:c r="J84" s="14" t="str">
        <x:v>PENDIENTE</x:v>
      </x:c>
      <x:c r="K84" s="14" t="str">
        <x:v>IMP-WEB-0017</x:v>
      </x:c>
      <x:c r="L84" s="14" t="str">
        <x:v>Agency / B2B</x:v>
      </x:c>
      <x:c r="M84" s="14" t="str"/>
      <x:c r="N84" s="14" t="str">
        <x:v>/agencias</x:v>
      </x:c>
      <x:c r="O84" s="14" t="str">
        <x:v>Implementar Agency list/detail</x:v>
      </x:c>
      <x:c r="P84" s="14" t="str">
        <x:v>Agency Domain; contract/commission refs; voucher refs; property scope.</x:v>
      </x:c>
      <x:c r="Q84" s="14" t="str">
        <x:v>Agency != Company; refs preserved; states complete.</x:v>
      </x:c>
      <x:c r="R84" s="14" t="str">
        <x:v>Agency contract provisional.</x:v>
      </x:c>
      <x:c r="S84" s="14" t="str">
        <x:v>Mapper + RTL.</x:v>
      </x:c>
      <x:c r="T84" s="14" t="str">
        <x:v>Vitest/RTL</x:v>
      </x:c>
      <x:c r="U84" s="14" t="str">
        <x:v>src/modules/agencies/*</x:v>
      </x:c>
      <x:c r="V84" s="14" t="str">
        <x:v>feature/agencies</x:v>
      </x:c>
      <x:c r="W84" s="14" t="str"/>
      <x:c r="X84" s="14" t="str"/>
      <x:c r="Y84" s="14" t="str"/>
      <x:c r="Z84" s="14" t="str"/>
    </x:row>
    <x:row r="85" ht="84" customHeight="1">
      <x:c r="A85" s="14" t="str">
        <x:v>IMP-WEB-0704</x:v>
      </x:c>
      <x:c r="B85" s="14" t="str">
        <x:v>S7 B2B &amp; Groups</x:v>
      </x:c>
      <x:c r="C85" s="14" t="str">
        <x:v>WEB</x:v>
      </x:c>
      <x:c r="D85" s="14" t="str">
        <x:v>Privado</x:v>
      </x:c>
      <x:c r="E85" s="14" t="str">
        <x:v>WEB-3</x:v>
      </x:c>
      <x:c r="F85" s="14" t="str">
        <x:v>WEB-4</x:v>
      </x:c>
      <x:c r="G85" s="14" t="str">
        <x:v>agencies</x:v>
      </x:c>
      <x:c r="H85" s="14" t="str">
        <x:v>FEATURE</x:v>
      </x:c>
      <x:c r="I85" s="14" t="str">
        <x:v>CRÍTICA</x:v>
      </x:c>
      <x:c r="J85" s="14" t="str">
        <x:v>PENDIENTE</x:v>
      </x:c>
      <x:c r="K85" s="14" t="str">
        <x:v>IMP-WEB-0703</x:v>
      </x:c>
      <x:c r="L85" s="14" t="str">
        <x:v>Agency Commission ADR</x:v>
      </x:c>
      <x:c r="M85" s="14" t="str"/>
      <x:c r="N85" s="14" t="str">
        <x:v>/agencias/[agencyId]</x:v>
      </x:c>
      <x:c r="O85" s="14" t="str">
        <x:v>Implementar comisión separada</x:v>
      </x:c>
      <x:c r="P85" s="14" t="str">
        <x:v>PERCENT/FIXED; base; payable; guest price unchanged.</x:v>
      </x:c>
      <x:c r="Q85" s="14" t="str">
        <x:v>Ejemplo Q2000 guest sigue Q2000 y Q240 commission al 12%; reversals trazables.</x:v>
      </x:c>
      <x:c r="R85" s="14" t="str">
        <x:v>Commission contract listo.</x:v>
      </x:c>
      <x:c r="S85" s="14" t="str">
        <x:v>Unit presentation+mapper.</x:v>
      </x:c>
      <x:c r="T85" s="14" t="str">
        <x:v>Vitest/RTL</x:v>
      </x:c>
      <x:c r="U85" s="14" t="str">
        <x:v>agency commission</x:v>
      </x:c>
      <x:c r="V85" s="14" t="str">
        <x:v>feature/agency-commission</x:v>
      </x:c>
      <x:c r="W85" s="14" t="str"/>
      <x:c r="X85" s="14" t="str"/>
      <x:c r="Y85" s="14" t="str"/>
      <x:c r="Z85" s="14" t="str"/>
    </x:row>
    <x:row r="86" ht="84" customHeight="1">
      <x:c r="A86" s="14" t="str">
        <x:v>IMP-WEB-0705</x:v>
      </x:c>
      <x:c r="B86" s="14" t="str">
        <x:v>S7 B2B &amp; Groups</x:v>
      </x:c>
      <x:c r="C86" s="14" t="str">
        <x:v>WEB</x:v>
      </x:c>
      <x:c r="D86" s="14" t="str">
        <x:v>Privado</x:v>
      </x:c>
      <x:c r="E86" s="14" t="str">
        <x:v>WEB-3</x:v>
      </x:c>
      <x:c r="F86" s="14" t="str">
        <x:v>WEB-4</x:v>
      </x:c>
      <x:c r="G86" s="14" t="str">
        <x:v>groups</x:v>
      </x:c>
      <x:c r="H86" s="14" t="str">
        <x:v>FEATURE</x:v>
      </x:c>
      <x:c r="I86" s="14" t="str">
        <x:v>CRÍTICA</x:v>
      </x:c>
      <x:c r="J86" s="14" t="str">
        <x:v>PENDIENTE</x:v>
      </x:c>
      <x:c r="K86" s="14" t="str">
        <x:v>IMP-WEB-0017</x:v>
      </x:c>
      <x:c r="L86" s="14" t="str">
        <x:v>Group Lifecycle</x:v>
      </x:c>
      <x:c r="M86" s="14" t="str"/>
      <x:c r="N86" s="14" t="str">
        <x:v>/grupos</x:v>
      </x:c>
      <x:c r="O86" s="14" t="str">
        <x:v>Implementar Groups lifecycle</x:v>
      </x:c>
      <x:c r="P86" s="14" t="str">
        <x:v>INQUIRY-&gt;TENTATIVE-&gt;DEFINITE-&gt;IN_HOUSE-&gt;CLOSED; list/detail; actions válidas.</x:v>
      </x:c>
      <x:c r="Q86" s="14" t="str">
        <x:v>Invalid jumps no se ofrecen/aplican; property scope; audit ref.</x:v>
      </x:c>
      <x:c r="R86" s="14" t="str">
        <x:v>Group contract provisional.</x:v>
      </x:c>
      <x:c r="S86" s="14" t="str">
        <x:v>Transition tests + RTL.</x:v>
      </x:c>
      <x:c r="T86" s="14" t="str">
        <x:v>Vitest/RTL</x:v>
      </x:c>
      <x:c r="U86" s="14" t="str">
        <x:v>src/modules/groups/*</x:v>
      </x:c>
      <x:c r="V86" s="14" t="str">
        <x:v>feature/groups-lifecycle</x:v>
      </x:c>
      <x:c r="W86" s="14" t="str"/>
      <x:c r="X86" s="14" t="str"/>
      <x:c r="Y86" s="14" t="str"/>
      <x:c r="Z86" s="14" t="str"/>
    </x:row>
    <x:row r="87" ht="84" customHeight="1">
      <x:c r="A87" s="14" t="str">
        <x:v>IMP-WEB-0706</x:v>
      </x:c>
      <x:c r="B87" s="14" t="str">
        <x:v>S7 B2B &amp; Groups</x:v>
      </x:c>
      <x:c r="C87" s="14" t="str">
        <x:v>WEB</x:v>
      </x:c>
      <x:c r="D87" s="14" t="str">
        <x:v>Privado</x:v>
      </x:c>
      <x:c r="E87" s="14" t="str">
        <x:v>WEB-3</x:v>
      </x:c>
      <x:c r="F87" s="14" t="str">
        <x:v>WEB-4</x:v>
      </x:c>
      <x:c r="G87" s="14" t="str">
        <x:v>groups</x:v>
      </x:c>
      <x:c r="H87" s="14" t="str">
        <x:v>FEATURE</x:v>
      </x:c>
      <x:c r="I87" s="14" t="str">
        <x:v>CRÍTICA</x:v>
      </x:c>
      <x:c r="J87" s="14" t="str">
        <x:v>PENDIENTE</x:v>
      </x:c>
      <x:c r="K87" s="14" t="str">
        <x:v>IMP-WEB-0705, IMP-WEB-0601</x:v>
      </x:c>
      <x:c r="L87" s="14" t="str">
        <x:v>Room Block</x:v>
      </x:c>
      <x:c r="M87" s="14" t="str"/>
      <x:c r="N87" s="14" t="str">
        <x:v>/grupos/[groupId]</x:v>
      </x:c>
      <x:c r="O87" s="14" t="str">
        <x:v>Implementar Room Block</x:v>
      </x:c>
      <x:c r="P87" s="14" t="str">
        <x:v>Blocked qty por roomType/date; total; no physical Room delete.</x:v>
      </x:c>
      <x:c r="Q87" s="14" t="str">
        <x:v>24 puede ser 16 Deluxe+8 Superior; block separado ATS.</x:v>
      </x:c>
      <x:c r="R87" s="14" t="str">
        <x:v>RoomBlock contract listo.</x:v>
      </x:c>
      <x:c r="S87" s="14" t="str">
        <x:v>Totals + RTL.</x:v>
      </x:c>
      <x:c r="T87" s="14" t="str">
        <x:v>Vitest/RTL</x:v>
      </x:c>
      <x:c r="U87" s="14" t="str">
        <x:v>group room-block</x:v>
      </x:c>
      <x:c r="V87" s="14" t="str">
        <x:v>feature/group-room-block</x:v>
      </x:c>
      <x:c r="W87" s="14" t="str"/>
      <x:c r="X87" s="14" t="str"/>
      <x:c r="Y87" s="14" t="str"/>
      <x:c r="Z87" s="14" t="str"/>
    </x:row>
    <x:row r="88" ht="84" customHeight="1">
      <x:c r="A88" s="14" t="str">
        <x:v>IMP-WEB-0707</x:v>
      </x:c>
      <x:c r="B88" s="14" t="str">
        <x:v>S7 B2B &amp; Groups</x:v>
      </x:c>
      <x:c r="C88" s="14" t="str">
        <x:v>WEB</x:v>
      </x:c>
      <x:c r="D88" s="14" t="str">
        <x:v>Privado</x:v>
      </x:c>
      <x:c r="E88" s="14" t="str">
        <x:v>WEB-3</x:v>
      </x:c>
      <x:c r="F88" s="14" t="str">
        <x:v>WEB-4</x:v>
      </x:c>
      <x:c r="G88" s="14" t="str">
        <x:v>groups</x:v>
      </x:c>
      <x:c r="H88" s="14" t="str">
        <x:v>FEATURE</x:v>
      </x:c>
      <x:c r="I88" s="14" t="str">
        <x:v>ALTA</x:v>
      </x:c>
      <x:c r="J88" s="14" t="str">
        <x:v>PENDIENTE</x:v>
      </x:c>
      <x:c r="K88" s="14" t="str">
        <x:v>IMP-WEB-0706</x:v>
      </x:c>
      <x:c r="L88" s="14" t="str">
        <x:v>Cutoff / Pickup</x:v>
      </x:c>
      <x:c r="M88" s="14" t="str"/>
      <x:c r="N88" s="14" t="str">
        <x:v>/grupos/[groupId]</x:v>
      </x:c>
      <x:c r="O88" s="14" t="str">
        <x:v>Implementar cutoff, release y pickup</x:v>
      </x:c>
      <x:c r="P88" s="14" t="str">
        <x:v>Cutoff date/method; release unused; blocked/reserved/available/pickup%.</x:v>
      </x:c>
      <x:c r="Q88" s="14" t="str">
        <x:v>24-6=18 retained; pickup 18/24=75%; block available != property ATS.</x:v>
      </x:c>
      <x:c r="R88" s="14" t="str">
        <x:v>Contracts listos.</x:v>
      </x:c>
      <x:c r="S88" s="14" t="str">
        <x:v>Arithmetic + RTL.</x:v>
      </x:c>
      <x:c r="T88" s="14" t="str">
        <x:v>Vitest/RTL</x:v>
      </x:c>
      <x:c r="U88" s="14" t="str">
        <x:v>group cutoff/pickup</x:v>
      </x:c>
      <x:c r="V88" s="14" t="str">
        <x:v>feature/group-cutoff-pickup</x:v>
      </x:c>
      <x:c r="W88" s="14" t="str"/>
      <x:c r="X88" s="14" t="str"/>
      <x:c r="Y88" s="14" t="str"/>
      <x:c r="Z88" s="14" t="str"/>
    </x:row>
    <x:row r="89" ht="84" customHeight="1">
      <x:c r="A89" s="14" t="str">
        <x:v>IMP-WEB-0708</x:v>
      </x:c>
      <x:c r="B89" s="14" t="str">
        <x:v>S7 B2B &amp; Groups</x:v>
      </x:c>
      <x:c r="C89" s="14" t="str">
        <x:v>WEB</x:v>
      </x:c>
      <x:c r="D89" s="14" t="str">
        <x:v>Privado</x:v>
      </x:c>
      <x:c r="E89" s="14" t="str">
        <x:v>WEB-3</x:v>
      </x:c>
      <x:c r="F89" s="14" t="str">
        <x:v>WEB-4</x:v>
      </x:c>
      <x:c r="G89" s="14" t="str">
        <x:v>groups</x:v>
      </x:c>
      <x:c r="H89" s="14" t="str">
        <x:v>FEATURE</x:v>
      </x:c>
      <x:c r="I89" s="14" t="str">
        <x:v>CRÍTICA</x:v>
      </x:c>
      <x:c r="J89" s="14" t="str">
        <x:v>PENDIENTE</x:v>
      </x:c>
      <x:c r="K89" s="14" t="str">
        <x:v>IMP-WEB-0705, IMP-WEB-0302</x:v>
      </x:c>
      <x:c r="L89" s="14" t="str">
        <x:v>Rooming List</x:v>
      </x:c>
      <x:c r="M89" s="14" t="str"/>
      <x:c r="N89" s="14" t="str">
        <x:v>/grupos/[groupId]/rooming-list</x:v>
      </x:c>
      <x:c r="O89" s="14" t="str">
        <x:v>Implementar Rooming List</x:v>
      </x:c>
      <x:c r="P89" s="14" t="str">
        <x:v>Assign GuestProfile to existing Stay IDs; preserve Reservation/Group/Stay IDs.</x:v>
      </x:c>
      <x:c r="Q89" s="14" t="str">
        <x:v>Occupant change no recrea stay/reservation; capacity validated.</x:v>
      </x:c>
      <x:c r="R89" s="14" t="str">
        <x:v>Rooming contract listo.</x:v>
      </x:c>
      <x:c r="S89" s="14" t="str">
        <x:v>ID preservation integration.</x:v>
      </x:c>
      <x:c r="T89" s="14" t="str">
        <x:v>Vitest/RTL</x:v>
      </x:c>
      <x:c r="U89" s="14" t="str">
        <x:v>group rooming list</x:v>
      </x:c>
      <x:c r="V89" s="14" t="str">
        <x:v>feature/group-rooming-list</x:v>
      </x:c>
      <x:c r="W89" s="14" t="str"/>
      <x:c r="X89" s="14" t="str"/>
      <x:c r="Y89" s="14" t="str"/>
      <x:c r="Z89" s="14" t="str"/>
    </x:row>
    <x:row r="90" ht="84" customHeight="1">
      <x:c r="A90" s="14" t="str">
        <x:v>IMP-WEB-0709</x:v>
      </x:c>
      <x:c r="B90" s="14" t="str">
        <x:v>S7 B2B &amp; Groups</x:v>
      </x:c>
      <x:c r="C90" s="14" t="str">
        <x:v>WEB</x:v>
      </x:c>
      <x:c r="D90" s="14" t="str">
        <x:v>Privado</x:v>
      </x:c>
      <x:c r="E90" s="14" t="str">
        <x:v>WEB-3</x:v>
      </x:c>
      <x:c r="F90" s="14" t="str">
        <x:v>WEB-4</x:v>
      </x:c>
      <x:c r="G90" s="14" t="str">
        <x:v>groups/folio</x:v>
      </x:c>
      <x:c r="H90" s="14" t="str">
        <x:v>FEATURE</x:v>
      </x:c>
      <x:c r="I90" s="14" t="str">
        <x:v>CRÍTICA</x:v>
      </x:c>
      <x:c r="J90" s="14" t="str">
        <x:v>PENDIENTE</x:v>
      </x:c>
      <x:c r="K90" s="14" t="str">
        <x:v>IMP-WEB-0705, IMP-WEB-0401</x:v>
      </x:c>
      <x:c r="L90" s="14" t="str">
        <x:v>Master Folio</x:v>
      </x:c>
      <x:c r="M90" s="14" t="str"/>
      <x:c r="N90" s="14" t="str">
        <x:v>/grupos/[groupId]</x:v>
      </x:c>
      <x:c r="O90" s="14" t="str">
        <x:v>Integrar Master Folio y routing</x:v>
      </x:c>
      <x:c r="P90" s="14" t="str">
        <x:v>Master ref; group charge routing vs individual; Folio public API.</x:v>
      </x:c>
      <x:c r="Q90" s="14" t="str">
        <x:v>No duplicate charge; personal stays individual; history preserved.</x:v>
      </x:c>
      <x:c r="R90" s="14" t="str">
        <x:v>Folio/group contracts listos.</x:v>
      </x:c>
      <x:c r="S90" s="14" t="str">
        <x:v>Integration.</x:v>
      </x:c>
      <x:c r="T90" s="14" t="str">
        <x:v>Vitest/RTL</x:v>
      </x:c>
      <x:c r="U90" s="14" t="str">
        <x:v>group master folio</x:v>
      </x:c>
      <x:c r="V90" s="14" t="str">
        <x:v>feature/group-master-folio</x:v>
      </x:c>
      <x:c r="W90" s="14" t="str"/>
      <x:c r="X90" s="14" t="str"/>
      <x:c r="Y90" s="14" t="str"/>
      <x:c r="Z90" s="14" t="str"/>
    </x:row>
    <x:row r="91" ht="84" customHeight="1">
      <x:c r="A91" s="14" t="str">
        <x:v>IMP-WEB-0710</x:v>
      </x:c>
      <x:c r="B91" s="14" t="str">
        <x:v>S7 B2B &amp; Groups</x:v>
      </x:c>
      <x:c r="C91" s="14" t="str">
        <x:v>WEB</x:v>
      </x:c>
      <x:c r="D91" s="14" t="str">
        <x:v>Privado</x:v>
      </x:c>
      <x:c r="E91" s="14" t="str">
        <x:v>WEB-3</x:v>
      </x:c>
      <x:c r="F91" s="14" t="str">
        <x:v>WEB-4</x:v>
      </x:c>
      <x:c r="G91" s="14" t="str">
        <x:v>groups</x:v>
      </x:c>
      <x:c r="H91" s="14" t="str">
        <x:v>FEATURE</x:v>
      </x:c>
      <x:c r="I91" s="14" t="str">
        <x:v>ALTA</x:v>
      </x:c>
      <x:c r="J91" s="14" t="str">
        <x:v>PENDIENTE</x:v>
      </x:c>
      <x:c r="K91" s="14" t="str">
        <x:v>IMP-WEB-0705</x:v>
      </x:c>
      <x:c r="L91" s="14" t="str">
        <x:v>Group Deposits</x:v>
      </x:c>
      <x:c r="M91" s="14" t="str"/>
      <x:c r="N91" s="14" t="str">
        <x:v>/grupos/[groupId]</x:v>
      </x:c>
      <x:c r="O91" s="14" t="str">
        <x:v>Implementar milestones de depósitos</x:v>
      </x:c>
      <x:c r="P91" s="14" t="str">
        <x:v>Date/%/amount/status; totals 100%; paid/due/scheduled.</x:v>
      </x:c>
      <x:c r="Q91" s="14" t="str">
        <x:v>30/40/30=100%; amount sum base; no auto-capture.</x:v>
      </x:c>
      <x:c r="R91" s="14" t="str">
        <x:v>Deposit contract listo.</x:v>
      </x:c>
      <x:c r="S91" s="14" t="str">
        <x:v>Arithmetic + RTL.</x:v>
      </x:c>
      <x:c r="T91" s="14" t="str">
        <x:v>Vitest/RTL</x:v>
      </x:c>
      <x:c r="U91" s="14" t="str">
        <x:v>group deposits</x:v>
      </x:c>
      <x:c r="V91" s="14" t="str">
        <x:v>feature/group-deposits</x:v>
      </x:c>
      <x:c r="W91" s="14" t="str"/>
      <x:c r="X91" s="14" t="str"/>
      <x:c r="Y91" s="14" t="str"/>
      <x:c r="Z91" s="14" t="str"/>
    </x:row>
    <x:row r="92" ht="84" customHeight="1">
      <x:c r="A92" s="14" t="str">
        <x:v>IMP-WEB-0711</x:v>
      </x:c>
      <x:c r="B92" s="14" t="str">
        <x:v>S7 B2B &amp; Groups</x:v>
      </x:c>
      <x:c r="C92" s="14" t="str">
        <x:v>WEB</x:v>
      </x:c>
      <x:c r="D92" s="14" t="str">
        <x:v>QA</x:v>
      </x:c>
      <x:c r="E92" s="14" t="str">
        <x:v>WEB-3</x:v>
      </x:c>
      <x:c r="F92" s="14" t="str">
        <x:v>WEB-4</x:v>
      </x:c>
      <x:c r="G92" s="14" t="str">
        <x:v>b2b-groups</x:v>
      </x:c>
      <x:c r="H92" s="14" t="str">
        <x:v>QA</x:v>
      </x:c>
      <x:c r="I92" s="14" t="str">
        <x:v>CRÍTICA</x:v>
      </x:c>
      <x:c r="J92" s="14" t="str">
        <x:v>PENDIENTE</x:v>
      </x:c>
      <x:c r="K92" s="14" t="str">
        <x:v>IMP-WEB-0702, IMP-WEB-0704, IMP-WEB-0707, IMP-WEB-0708, IMP-WEB-0709, IMP-WEB-0710</x:v>
      </x:c>
      <x:c r="L92" s="14" t="str">
        <x:v>V3 — 05 B2B / Groups</x:v>
      </x:c>
      <x:c r="M92" s="14" t="str"/>
      <x:c r="N92" s="14" t="str">
        <x:v>/empresas /agencias /grupos*</x:v>
      </x:c>
      <x:c r="O92" s="14" t="str">
        <x:v>QA B2B/Groups</x:v>
      </x:c>
      <x:c r="P92" s="14" t="str">
        <x:v>Actors, rates, commission, lifecycle, block/cutoff/pickup/rooming/master folio/deposits.</x:v>
      </x:c>
      <x:c r="Q92" s="14" t="str">
        <x:v>Guest price vs commission PASS; IDs preserved; no invalid jumps; finance coherent.</x:v>
      </x:c>
      <x:c r="R92" s="14" t="str">
        <x:v>S7 core completo.</x:v>
      </x:c>
      <x:c r="S92" s="14" t="str">
        <x:v>Global DoD + scenario regression.</x:v>
      </x:c>
      <x:c r="T92" s="14" t="str">
        <x:v>npm run check + manual</x:v>
      </x:c>
      <x:c r="U92" s="14" t="str">
        <x:v>S7</x:v>
      </x:c>
      <x:c r="V92" s="14" t="str">
        <x:v>test/b2b-groups-regression</x:v>
      </x:c>
      <x:c r="W92" s="14" t="str"/>
      <x:c r="X92" s="14" t="str"/>
      <x:c r="Y92" s="14" t="str"/>
      <x:c r="Z92" s="14" t="str"/>
    </x:row>
    <x:row r="93" ht="84" customHeight="1">
      <x:c r="A93" s="14" t="str">
        <x:v>IMP-WEB-0801</x:v>
      </x:c>
      <x:c r="B93" s="14" t="str">
        <x:v>S8 Integrations</x:v>
      </x:c>
      <x:c r="C93" s="14" t="str">
        <x:v>WEB</x:v>
      </x:c>
      <x:c r="D93" s="14" t="str">
        <x:v>Privado</x:v>
      </x:c>
      <x:c r="E93" s="14" t="str">
        <x:v>WEB-3</x:v>
      </x:c>
      <x:c r="F93" s="14" t="str">
        <x:v>WEB-2</x:v>
      </x:c>
      <x:c r="G93" s="14" t="str">
        <x:v>integrations</x:v>
      </x:c>
      <x:c r="H93" s="14" t="str">
        <x:v>FEATURE</x:v>
      </x:c>
      <x:c r="I93" s="14" t="str">
        <x:v>CRÍTICA</x:v>
      </x:c>
      <x:c r="J93" s="14" t="str">
        <x:v>PENDIENTE</x:v>
      </x:c>
      <x:c r="K93" s="14" t="str">
        <x:v>IMP-WEB-0017</x:v>
      </x:c>
      <x:c r="L93" s="14" t="str">
        <x:v>Integration Center</x:v>
      </x:c>
      <x:c r="M93" s="14" t="str"/>
      <x:c r="N93" s="14" t="str">
        <x:v>/integraciones</x:v>
      </x:c>
      <x:c r="O93" s="14" t="str">
        <x:v>Implementar Integration Center</x:v>
      </x:c>
      <x:c r="P93" s="14" t="str">
        <x:v>7 categorías exactas: Channels, Payments, POS, Fiscal, Locks, Messaging, Accounting; health; property scope.</x:v>
      </x:c>
      <x:c r="Q93" s="14" t="str">
        <x:v>7 categorías presentes; counts/health coherentes; no secrets.</x:v>
      </x:c>
      <x:c r="R93" s="14" t="str">
        <x:v>Integration list contract listo.</x:v>
      </x:c>
      <x:c r="S93" s="14" t="str">
        <x:v>Mapper + RTL + visual.</x:v>
      </x:c>
      <x:c r="T93" s="14" t="str">
        <x:v>Vitest/RTL</x:v>
      </x:c>
      <x:c r="U93" s="14" t="str">
        <x:v>src/modules/integrations/*</x:v>
      </x:c>
      <x:c r="V93" s="14" t="str">
        <x:v>feature/integration-center</x:v>
      </x:c>
      <x:c r="W93" s="14" t="str"/>
      <x:c r="X93" s="14" t="str"/>
      <x:c r="Y93" s="14" t="str"/>
      <x:c r="Z93" s="14" t="str"/>
    </x:row>
    <x:row r="94" ht="84" customHeight="1">
      <x:c r="A94" s="14" t="str">
        <x:v>IMP-WEB-0802</x:v>
      </x:c>
      <x:c r="B94" s="14" t="str">
        <x:v>S8 Integrations</x:v>
      </x:c>
      <x:c r="C94" s="14" t="str">
        <x:v>WEB</x:v>
      </x:c>
      <x:c r="D94" s="14" t="str">
        <x:v>Privado</x:v>
      </x:c>
      <x:c r="E94" s="14" t="str">
        <x:v>WEB-3</x:v>
      </x:c>
      <x:c r="F94" s="14" t="str">
        <x:v>WEB-2</x:v>
      </x:c>
      <x:c r="G94" s="14" t="str">
        <x:v>integrations</x:v>
      </x:c>
      <x:c r="H94" s="14" t="str">
        <x:v>FEATURE</x:v>
      </x:c>
      <x:c r="I94" s="14" t="str">
        <x:v>ALTA</x:v>
      </x:c>
      <x:c r="J94" s="14" t="str">
        <x:v>PENDIENTE</x:v>
      </x:c>
      <x:c r="K94" s="14" t="str">
        <x:v>IMP-WEB-0801</x:v>
      </x:c>
      <x:c r="L94" s="14" t="str">
        <x:v>Booking.com Detail</x:v>
      </x:c>
      <x:c r="M94" s="14" t="str"/>
      <x:c r="N94" s="14" t="str">
        <x:v>/integraciones/[integrationId]</x:v>
      </x:c>
      <x:c r="O94" s="14" t="str">
        <x:v>Implementar detalle/capabilities</x:v>
      </x:c>
      <x:c r="P94" s="14" t="str">
        <x:v>Provider/version/health/last sync/capabilities/external refs seguras.</x:v>
      </x:c>
      <x:c r="Q94" s="14" t="str">
        <x:v>Booking.com capabilities correctas; no credentials secrets; back funciona.</x:v>
      </x:c>
      <x:c r="R94" s="14" t="str">
        <x:v>Detail contract listo.</x:v>
      </x:c>
      <x:c r="S94" s="14" t="str">
        <x:v>RTL + visual.</x:v>
      </x:c>
      <x:c r="T94" s="14" t="str">
        <x:v>Vitest/RTL</x:v>
      </x:c>
      <x:c r="U94" s="14" t="str">
        <x:v>integration detail</x:v>
      </x:c>
      <x:c r="V94" s="14" t="str">
        <x:v>feature/integration-detail</x:v>
      </x:c>
      <x:c r="W94" s="14" t="str"/>
      <x:c r="X94" s="14" t="str"/>
      <x:c r="Y94" s="14" t="str"/>
      <x:c r="Z94" s="14" t="str"/>
    </x:row>
    <x:row r="95" ht="84" customHeight="1">
      <x:c r="A95" s="14" t="str">
        <x:v>IMP-WEB-0803</x:v>
      </x:c>
      <x:c r="B95" s="14" t="str">
        <x:v>S8 Integrations</x:v>
      </x:c>
      <x:c r="C95" s="14" t="str">
        <x:v>WEB</x:v>
      </x:c>
      <x:c r="D95" s="14" t="str">
        <x:v>Privado</x:v>
      </x:c>
      <x:c r="E95" s="14" t="str">
        <x:v>WEB-3</x:v>
      </x:c>
      <x:c r="F95" s="14" t="str">
        <x:v>WEB-2</x:v>
      </x:c>
      <x:c r="G95" s="14" t="str">
        <x:v>integrations</x:v>
      </x:c>
      <x:c r="H95" s="14" t="str">
        <x:v>FEATURE</x:v>
      </x:c>
      <x:c r="I95" s="14" t="str">
        <x:v>CRÍTICA</x:v>
      </x:c>
      <x:c r="J95" s="14" t="str">
        <x:v>PENDIENTE</x:v>
      </x:c>
      <x:c r="K95" s="14" t="str">
        <x:v>IMP-WEB-0801, IMP-WEB-S301</x:v>
      </x:c>
      <x:c r="L95" s="14" t="str">
        <x:v>Error Queue</x:v>
      </x:c>
      <x:c r="M95" s="14" t="str"/>
      <x:c r="N95" s="14" t="str">
        <x:v>/integraciones/errores</x:v>
      </x:c>
      <x:c r="O95" s="14" t="str">
        <x:v>Implementar Error Queue</x:v>
      </x:c>
      <x:c r="P95" s="14" t="str">
        <x:v>Retryable/non-retryable, entity refs, attempts, escalation, filters.</x:v>
      </x:c>
      <x:c r="Q95" s="14" t="str">
        <x:v>No retry action en non-retryable; counts correctos; no secrets.</x:v>
      </x:c>
      <x:c r="R95" s="14" t="str">
        <x:v>Queue contract listo.</x:v>
      </x:c>
      <x:c r="S95" s="14" t="str">
        <x:v>Mapper + RTL.</x:v>
      </x:c>
      <x:c r="T95" s="14" t="str">
        <x:v>Vitest/RTL</x:v>
      </x:c>
      <x:c r="U95" s="14" t="str">
        <x:v>integration error queue</x:v>
      </x:c>
      <x:c r="V95" s="14" t="str">
        <x:v>feature/error-queue</x:v>
      </x:c>
      <x:c r="W95" s="14" t="str"/>
      <x:c r="X95" s="14" t="str"/>
      <x:c r="Y95" s="14" t="str"/>
      <x:c r="Z95" s="14" t="str"/>
    </x:row>
    <x:row r="96" ht="84" customHeight="1">
      <x:c r="A96" s="14" t="str">
        <x:v>IMP-WEB-0804</x:v>
      </x:c>
      <x:c r="B96" s="14" t="str">
        <x:v>S8 Integrations</x:v>
      </x:c>
      <x:c r="C96" s="14" t="str">
        <x:v>WEB</x:v>
      </x:c>
      <x:c r="D96" s="14" t="str">
        <x:v>Privado</x:v>
      </x:c>
      <x:c r="E96" s="14" t="str">
        <x:v>WEB-3</x:v>
      </x:c>
      <x:c r="F96" s="14" t="str">
        <x:v>WEB-2</x:v>
      </x:c>
      <x:c r="G96" s="14" t="str">
        <x:v>integrations</x:v>
      </x:c>
      <x:c r="H96" s="14" t="str">
        <x:v>FEATURE</x:v>
      </x:c>
      <x:c r="I96" s="14" t="str">
        <x:v>CRÍTICA</x:v>
      </x:c>
      <x:c r="J96" s="14" t="str">
        <x:v>PENDIENTE</x:v>
      </x:c>
      <x:c r="K96" s="14" t="str">
        <x:v>IMP-WEB-0803</x:v>
      </x:c>
      <x:c r="L96" s="14" t="str">
        <x:v>Retry/backoff ADR</x:v>
      </x:c>
      <x:c r="M96" s="14" t="str"/>
      <x:c r="N96" s="14" t="str">
        <x:v>/integraciones/errores</x:v>
      </x:c>
      <x:c r="O96" s="14" t="str">
        <x:v>Implementar Retry</x:v>
      </x:c>
      <x:c r="P96" s="14" t="str">
        <x:v>Retry solo retryable; scheduled/running/succeeded/exhausted/blocked; anti-double-submit.</x:v>
      </x:c>
      <x:c r="Q96" s="14" t="str">
        <x:v>No duplicate side effect; attempts/status coherent; failure remains actionable.</x:v>
      </x:c>
      <x:c r="R96" s="14" t="str">
        <x:v>Retry contract listo.</x:v>
      </x:c>
      <x:c r="S96" s="14" t="str">
        <x:v>Integration retry states.</x:v>
      </x:c>
      <x:c r="T96" s="14" t="str">
        <x:v>Vitest/RTL</x:v>
      </x:c>
      <x:c r="U96" s="14" t="str">
        <x:v>integration retry</x:v>
      </x:c>
      <x:c r="V96" s="14" t="str">
        <x:v>feature/integration-retry</x:v>
      </x:c>
      <x:c r="W96" s="14" t="str"/>
      <x:c r="X96" s="14" t="str"/>
      <x:c r="Y96" s="14" t="str"/>
      <x:c r="Z96" s="14" t="str"/>
    </x:row>
    <x:row r="97" ht="84" customHeight="1">
      <x:c r="A97" s="14" t="str">
        <x:v>IMP-WEB-0805</x:v>
      </x:c>
      <x:c r="B97" s="14" t="str">
        <x:v>S8 Integrations</x:v>
      </x:c>
      <x:c r="C97" s="14" t="str">
        <x:v>WEB</x:v>
      </x:c>
      <x:c r="D97" s="14" t="str">
        <x:v>Privado</x:v>
      </x:c>
      <x:c r="E97" s="14" t="str">
        <x:v>WEB-3</x:v>
      </x:c>
      <x:c r="F97" s="14" t="str">
        <x:v>WEB-4</x:v>
      </x:c>
      <x:c r="G97" s="14" t="str">
        <x:v>integrations</x:v>
      </x:c>
      <x:c r="H97" s="14" t="str">
        <x:v>FEATURE</x:v>
      </x:c>
      <x:c r="I97" s="14" t="str">
        <x:v>ALTA</x:v>
      </x:c>
      <x:c r="J97" s="14" t="str">
        <x:v>PENDIENTE</x:v>
      </x:c>
      <x:c r="K97" s="14" t="str">
        <x:v>IMP-WEB-0802</x:v>
      </x:c>
      <x:c r="L97" s="14" t="str">
        <x:v>Booking.com Mapping</x:v>
      </x:c>
      <x:c r="M97" s="14" t="str"/>
      <x:c r="N97" s="14" t="str">
        <x:v>/integraciones/[integrationId]/mapping</x:v>
      </x:c>
      <x:c r="O97" s="14" t="str">
        <x:v>Implementar mappings</x:v>
      </x:c>
      <x:c r="P97" s="14" t="str">
        <x:v>RoomType/RatePlan/Channel external-&gt;internal; save; missing mapping error.</x:v>
      </x:c>
      <x:c r="Q97" s="14" t="str">
        <x:v>BK-DLX etc fixtures coherent; internal IDs selected from allowed catalog.</x:v>
      </x:c>
      <x:c r="R97" s="14" t="str">
        <x:v>Mapping contract listo.</x:v>
      </x:c>
      <x:c r="S97" s="14" t="str">
        <x:v>Mapper + RTL.</x:v>
      </x:c>
      <x:c r="T97" s="14" t="str">
        <x:v>Vitest/RTL</x:v>
      </x:c>
      <x:c r="U97" s="14" t="str">
        <x:v>integration mapping</x:v>
      </x:c>
      <x:c r="V97" s="14" t="str">
        <x:v>feature/integration-mapping</x:v>
      </x:c>
      <x:c r="W97" s="14" t="str"/>
      <x:c r="X97" s="14" t="str"/>
      <x:c r="Y97" s="14" t="str"/>
      <x:c r="Z97" s="14" t="str"/>
    </x:row>
    <x:row r="98" ht="84" customHeight="1">
      <x:c r="A98" s="14" t="str">
        <x:v>IMP-WEB-0806</x:v>
      </x:c>
      <x:c r="B98" s="14" t="str">
        <x:v>S8 Integrations</x:v>
      </x:c>
      <x:c r="C98" s="14" t="str">
        <x:v>WEB</x:v>
      </x:c>
      <x:c r="D98" s="14" t="str">
        <x:v>Privado</x:v>
      </x:c>
      <x:c r="E98" s="14" t="str">
        <x:v>WEB-3</x:v>
      </x:c>
      <x:c r="F98" s="14" t="str">
        <x:v>WEB-2</x:v>
      </x:c>
      <x:c r="G98" s="14" t="str">
        <x:v>integrations</x:v>
      </x:c>
      <x:c r="H98" s="14" t="str">
        <x:v>FEATURE</x:v>
      </x:c>
      <x:c r="I98" s="14" t="str">
        <x:v>ALTA</x:v>
      </x:c>
      <x:c r="J98" s="14" t="str">
        <x:v>PENDIENTE</x:v>
      </x:c>
      <x:c r="K98" s="14" t="str">
        <x:v>IMP-WEB-0801</x:v>
      </x:c>
      <x:c r="L98" s="14" t="str">
        <x:v>Health Alerts</x:v>
      </x:c>
      <x:c r="M98" s="14" t="str"/>
      <x:c r="N98" s="14" t="str">
        <x:v>/integraciones</x:v>
      </x:c>
      <x:c r="O98" s="14" t="str">
        <x:v>Implementar alertas de salud</x:v>
      </x:c>
      <x:c r="P98" s="14" t="str">
        <x:v>Alert id/provider/severity/error ref/action a Error Queue.</x:v>
      </x:c>
      <x:c r="Q98" s="14" t="str">
        <x:v>Navigation a error correcto; counts update; 0 dead controls.</x:v>
      </x:c>
      <x:c r="R98" s="14" t="str">
        <x:v>Alert contract listo.</x:v>
      </x:c>
      <x:c r="S98" s="14" t="str">
        <x:v>RTL navigation.</x:v>
      </x:c>
      <x:c r="T98" s="14" t="str">
        <x:v>Vitest/RTL</x:v>
      </x:c>
      <x:c r="U98" s="14" t="str">
        <x:v>health alerts</x:v>
      </x:c>
      <x:c r="V98" s="14" t="str">
        <x:v>feature/integration-health</x:v>
      </x:c>
      <x:c r="W98" s="14" t="str"/>
      <x:c r="X98" s="14" t="str"/>
      <x:c r="Y98" s="14" t="str"/>
      <x:c r="Z98" s="14" t="str"/>
    </x:row>
    <x:row r="99" ht="84" customHeight="1">
      <x:c r="A99" s="14" t="str">
        <x:v>IMP-WEB-0807</x:v>
      </x:c>
      <x:c r="B99" s="14" t="str">
        <x:v>S8 Integrations</x:v>
      </x:c>
      <x:c r="C99" s="14" t="str">
        <x:v>WEB</x:v>
      </x:c>
      <x:c r="D99" s="14" t="str">
        <x:v>QA</x:v>
      </x:c>
      <x:c r="E99" s="14" t="str">
        <x:v>WEB-3</x:v>
      </x:c>
      <x:c r="F99" s="14" t="str">
        <x:v>WEB-2</x:v>
      </x:c>
      <x:c r="G99" s="14" t="str">
        <x:v>integrations</x:v>
      </x:c>
      <x:c r="H99" s="14" t="str">
        <x:v>QA</x:v>
      </x:c>
      <x:c r="I99" s="14" t="str">
        <x:v>CRÍTICA</x:v>
      </x:c>
      <x:c r="J99" s="14" t="str">
        <x:v>PENDIENTE</x:v>
      </x:c>
      <x:c r="K99" s="14" t="str">
        <x:v>IMP-WEB-0802, IMP-WEB-0803, IMP-WEB-0804, IMP-WEB-0805, IMP-WEB-0806</x:v>
      </x:c>
      <x:c r="L99" s="14" t="str">
        <x:v>V3 — 06 Integrations</x:v>
      </x:c>
      <x:c r="M99" s="14" t="str"/>
      <x:c r="N99" s="14" t="str">
        <x:v>/integraciones*</x:v>
      </x:c>
      <x:c r="O99" s="14" t="str">
        <x:v>QA Integrations</x:v>
      </x:c>
      <x:c r="P99" s="14" t="str">
        <x:v>Center/detail/queue/retry/mapping/health; idempotency semantics; property scope.</x:v>
      </x:c>
      <x:c r="Q99" s="14" t="str">
        <x:v>0 secrets; retry no duplica; mappings safe; navigation/status PASS.</x:v>
      </x:c>
      <x:c r="R99" s="14" t="str">
        <x:v>S8 completo.</x:v>
      </x:c>
      <x:c r="S99" s="14" t="str">
        <x:v>Global DoD + integration regression.</x:v>
      </x:c>
      <x:c r="T99" s="14" t="str">
        <x:v>npm run check + manual</x:v>
      </x:c>
      <x:c r="U99" s="14" t="str">
        <x:v>S8</x:v>
      </x:c>
      <x:c r="V99" s="14" t="str">
        <x:v>test/integrations-regression</x:v>
      </x:c>
      <x:c r="W99" s="14" t="str"/>
      <x:c r="X99" s="14" t="str"/>
      <x:c r="Y99" s="14" t="str"/>
      <x:c r="Z99" s="14" t="str"/>
    </x:row>
    <x:row r="100" ht="84" customHeight="1">
      <x:c r="A100" s="14" t="str">
        <x:v>IMP-WEB-0901</x:v>
      </x:c>
      <x:c r="B100" s="14" t="str">
        <x:v>S9 Security &amp; Multi-property</x:v>
      </x:c>
      <x:c r="C100" s="14" t="str">
        <x:v>WEB</x:v>
      </x:c>
      <x:c r="D100" s="14" t="str">
        <x:v>Privado</x:v>
      </x:c>
      <x:c r="E100" s="14" t="str">
        <x:v>WEB-2</x:v>
      </x:c>
      <x:c r="F100" s="14" t="str">
        <x:v>WEB-3</x:v>
      </x:c>
      <x:c r="G100" s="14" t="str">
        <x:v>permissions</x:v>
      </x:c>
      <x:c r="H100" s="14" t="str">
        <x:v>FEATURE</x:v>
      </x:c>
      <x:c r="I100" s="14" t="str">
        <x:v>CRÍTICA</x:v>
      </x:c>
      <x:c r="J100" s="14" t="str">
        <x:v>PENDIENTE</x:v>
      </x:c>
      <x:c r="K100" s="14" t="str">
        <x:v>IMP-WEB-0017</x:v>
      </x:c>
      <x:c r="L100" s="14" t="str">
        <x:v>V3 — 07 Security / Privacy / Access</x:v>
      </x:c>
      <x:c r="M100" s="14" t="str"/>
      <x:c r="N100" s="14" t="str">
        <x:v>/seguridad/roles</x:v>
      </x:c>
      <x:c r="O100" s="14" t="str">
        <x:v>Implementar roles/permissions</x:v>
      </x:c>
      <x:c r="P100" s="14" t="str">
        <x:v>Role, permissions, property memberships; hide/disable UI; no asumir backend authorization.</x:v>
      </x:c>
      <x:c r="Q100" s="14" t="str">
        <x:v>Role modules correctos; property switch no cambia role; permission matrix visible.</x:v>
      </x:c>
      <x:c r="R100" s="14" t="str">
        <x:v>Permission contract listo.</x:v>
      </x:c>
      <x:c r="S100" s="14" t="str">
        <x:v>Mapper + RTL role cases.</x:v>
      </x:c>
      <x:c r="T100" s="14" t="str">
        <x:v>Vitest/RTL</x:v>
      </x:c>
      <x:c r="U100" s="14" t="str">
        <x:v>src/modules/permissions/*</x:v>
      </x:c>
      <x:c r="V100" s="14" t="str">
        <x:v>feature/roles-permissions</x:v>
      </x:c>
      <x:c r="W100" s="14" t="str"/>
      <x:c r="X100" s="14" t="str"/>
      <x:c r="Y100" s="14" t="str"/>
      <x:c r="Z100" s="14" t="str"/>
    </x:row>
    <x:row r="101" ht="84" customHeight="1">
      <x:c r="A101" s="14" t="str">
        <x:v>IMP-WEB-0902</x:v>
      </x:c>
      <x:c r="B101" s="14" t="str">
        <x:v>S9 Security &amp; Multi-property</x:v>
      </x:c>
      <x:c r="C101" s="14" t="str">
        <x:v>WEB</x:v>
      </x:c>
      <x:c r="D101" s="14" t="str">
        <x:v>Privado</x:v>
      </x:c>
      <x:c r="E101" s="14" t="str">
        <x:v>WEB-2</x:v>
      </x:c>
      <x:c r="F101" s="14" t="str">
        <x:v>WEB-3</x:v>
      </x:c>
      <x:c r="G101" s="14" t="str">
        <x:v>security</x:v>
      </x:c>
      <x:c r="H101" s="14" t="str">
        <x:v>FEATURE</x:v>
      </x:c>
      <x:c r="I101" s="14" t="str">
        <x:v>ALTA</x:v>
      </x:c>
      <x:c r="J101" s="14" t="str">
        <x:v>PENDIENTE</x:v>
      </x:c>
      <x:c r="K101" s="14" t="str">
        <x:v>IMP-WEB-0901</x:v>
      </x:c>
      <x:c r="L101" s="14" t="str">
        <x:v>Sessions / Security</x:v>
      </x:c>
      <x:c r="M101" s="14" t="str"/>
      <x:c r="N101" s="14" t="str">
        <x:v>/seguridad/sesiones</x:v>
      </x:c>
      <x:c r="O101" s="14" t="str">
        <x:v>Implementar sesiones y revocación</x:v>
      </x:c>
      <x:c r="P101" s="14" t="str">
        <x:v>List metadata segura; current session; revoke; loading/error.</x:v>
      </x:c>
      <x:c r="Q101" s="14" t="str">
        <x:v>No token raw; revoke solo success tras response; no PII innecesaria.</x:v>
      </x:c>
      <x:c r="R101" s="14" t="str">
        <x:v>Session contract listo.</x:v>
      </x:c>
      <x:c r="S101" s="14" t="str">
        <x:v>RTL + security.</x:v>
      </x:c>
      <x:c r="T101" s="14" t="str">
        <x:v>Vitest/RTL</x:v>
      </x:c>
      <x:c r="U101" s="14" t="str">
        <x:v>security sessions</x:v>
      </x:c>
      <x:c r="V101" s="14" t="str">
        <x:v>feature/staff-sessions</x:v>
      </x:c>
      <x:c r="W101" s="14" t="str"/>
      <x:c r="X101" s="14" t="str"/>
      <x:c r="Y101" s="14" t="str"/>
      <x:c r="Z101" s="14" t="str"/>
    </x:row>
    <x:row r="102" ht="84" customHeight="1">
      <x:c r="A102" s="14" t="str">
        <x:v>IMP-WEB-0903</x:v>
      </x:c>
      <x:c r="B102" s="14" t="str">
        <x:v>S9 Security &amp; Multi-property</x:v>
      </x:c>
      <x:c r="C102" s="14" t="str">
        <x:v>WEB</x:v>
      </x:c>
      <x:c r="D102" s="14" t="str">
        <x:v>Privado</x:v>
      </x:c>
      <x:c r="E102" s="14" t="str">
        <x:v>WEB-2</x:v>
      </x:c>
      <x:c r="F102" s="14" t="str">
        <x:v>WEB-3</x:v>
      </x:c>
      <x:c r="G102" s="14" t="str">
        <x:v>security</x:v>
      </x:c>
      <x:c r="H102" s="14" t="str">
        <x:v>FEATURE</x:v>
      </x:c>
      <x:c r="I102" s="14" t="str">
        <x:v>ALTA</x:v>
      </x:c>
      <x:c r="J102" s="14" t="str">
        <x:v>PENDIENTE</x:v>
      </x:c>
      <x:c r="K102" s="14" t="str">
        <x:v>IMP-WEB-0901</x:v>
      </x:c>
      <x:c r="L102" s="14" t="str">
        <x:v>MFA</x:v>
      </x:c>
      <x:c r="M102" s="14" t="str"/>
      <x:c r="N102" s="14" t="str">
        <x:v>/seguridad/mfa</x:v>
      </x:c>
      <x:c r="O102" s="14" t="str">
        <x:v>Implementar MFA UI</x:v>
      </x:c>
      <x:c r="P102" s="14" t="str">
        <x:v>Enrollment/status/recovery refs; no persist code/seed; a11y auth.</x:v>
      </x:c>
      <x:c r="Q102" s="14" t="str">
        <x:v>No codes/seeds en logs/storage; states complete.</x:v>
      </x:c>
      <x:c r="R102" s="14" t="str">
        <x:v>MFA contract listo.</x:v>
      </x:c>
      <x:c r="S102" s="14" t="str">
        <x:v>RTL + security.</x:v>
      </x:c>
      <x:c r="T102" s="14" t="str">
        <x:v>Vitest/RTL</x:v>
      </x:c>
      <x:c r="U102" s="14" t="str">
        <x:v>security mfa</x:v>
      </x:c>
      <x:c r="V102" s="14" t="str">
        <x:v>feature/mfa</x:v>
      </x:c>
      <x:c r="W102" s="14" t="str"/>
      <x:c r="X102" s="14" t="str"/>
      <x:c r="Y102" s="14" t="str"/>
      <x:c r="Z102" s="14" t="str"/>
    </x:row>
    <x:row r="103" ht="84" customHeight="1">
      <x:c r="A103" s="14" t="str">
        <x:v>IMP-WEB-0904</x:v>
      </x:c>
      <x:c r="B103" s="14" t="str">
        <x:v>S9 Security &amp; Multi-property</x:v>
      </x:c>
      <x:c r="C103" s="14" t="str">
        <x:v>WEB</x:v>
      </x:c>
      <x:c r="D103" s="14" t="str">
        <x:v>Privado</x:v>
      </x:c>
      <x:c r="E103" s="14" t="str">
        <x:v>WEB-2</x:v>
      </x:c>
      <x:c r="F103" s="14" t="str">
        <x:v>WEB-3</x:v>
      </x:c>
      <x:c r="G103" s="14" t="str">
        <x:v>privacy</x:v>
      </x:c>
      <x:c r="H103" s="14" t="str">
        <x:v>FEATURE</x:v>
      </x:c>
      <x:c r="I103" s="14" t="str">
        <x:v>CRÍTICA</x:v>
      </x:c>
      <x:c r="J103" s="14" t="str">
        <x:v>PENDIENTE</x:v>
      </x:c>
      <x:c r="K103" s="14" t="str">
        <x:v>IMP-WEB-0017</x:v>
      </x:c>
      <x:c r="L103" s="14" t="str">
        <x:v>Privacy Center</x:v>
      </x:c>
      <x:c r="M103" s="14" t="str"/>
      <x:c r="N103" s="14" t="str">
        <x:v>/seguridad/privacidad</x:v>
      </x:c>
      <x:c r="O103" s="14" t="str">
        <x:v>Implementar Consent/Privacy Center</x:v>
      </x:c>
      <x:c r="P103" s="14" t="str">
        <x:v>Consent purpose+channel+status+source+timestamp; granular update; DSR entrypoints.</x:v>
      </x:c>
      <x:c r="Q103" s="14" t="str">
        <x:v>Revocar SMS no revoca Email; no promesa de borrar retenciones legales.</x:v>
      </x:c>
      <x:c r="R103" s="14" t="str">
        <x:v>Consent/DSR contract listo.</x:v>
      </x:c>
      <x:c r="S103" s="14" t="str">
        <x:v>Mapper + granular RTL.</x:v>
      </x:c>
      <x:c r="T103" s="14" t="str">
        <x:v>Vitest/RTL</x:v>
      </x:c>
      <x:c r="U103" s="14" t="str">
        <x:v>src/modules/privacy/*</x:v>
      </x:c>
      <x:c r="V103" s="14" t="str">
        <x:v>feature/privacy-center</x:v>
      </x:c>
      <x:c r="W103" s="14" t="str"/>
      <x:c r="X103" s="14" t="str"/>
      <x:c r="Y103" s="14" t="str"/>
      <x:c r="Z103" s="14" t="str"/>
    </x:row>
    <x:row r="104" ht="84" customHeight="1">
      <x:c r="A104" s="14" t="str">
        <x:v>IMP-WEB-0905</x:v>
      </x:c>
      <x:c r="B104" s="14" t="str">
        <x:v>S9 Security &amp; Multi-property</x:v>
      </x:c>
      <x:c r="C104" s="14" t="str">
        <x:v>WEB</x:v>
      </x:c>
      <x:c r="D104" s="14" t="str">
        <x:v>Privado</x:v>
      </x:c>
      <x:c r="E104" s="14" t="str">
        <x:v>WEB-2</x:v>
      </x:c>
      <x:c r="F104" s="14" t="str">
        <x:v>WEB-4</x:v>
      </x:c>
      <x:c r="G104" s="14" t="str">
        <x:v>properties</x:v>
      </x:c>
      <x:c r="H104" s="14" t="str">
        <x:v>FEATURE</x:v>
      </x:c>
      <x:c r="I104" s="14" t="str">
        <x:v>CRÍTICA</x:v>
      </x:c>
      <x:c r="J104" s="14" t="str">
        <x:v>PENDIENTE</x:v>
      </x:c>
      <x:c r="K104" s="14" t="str">
        <x:v>IMP-WEB-0901</x:v>
      </x:c>
      <x:c r="L104" s="14" t="str">
        <x:v>V3 — 09 Multi-property</x:v>
      </x:c>
      <x:c r="M104" s="14" t="str"/>
      <x:c r="N104" s="14" t="str">
        <x:v>N/A shell</x:v>
      </x:c>
      <x:c r="O104" s="14" t="str">
        <x:v>Implementar Property Switcher</x:v>
      </x:c>
      <x:c r="P104" s="14" t="str">
        <x:v>Load ACTIVE memberships; authorized only; change scope; Recepción sin global por defecto.</x:v>
      </x:c>
      <x:c r="Q104" s="14" t="str">
        <x:v>No unauthorized properties; ALL_PROPERTIES solo con permiso; role unchanged.</x:v>
      </x:c>
      <x:c r="R104" s="14" t="str">
        <x:v>Membership contract listo.</x:v>
      </x:c>
      <x:c r="S104" s="14" t="str">
        <x:v>RTL authorization matrix.</x:v>
      </x:c>
      <x:c r="T104" s="14" t="str">
        <x:v>Vitest/RTL</x:v>
      </x:c>
      <x:c r="U104" s="14" t="str">
        <x:v>src/modules/properties/*; private shell</x:v>
      </x:c>
      <x:c r="V104" s="14" t="str">
        <x:v>feature/property-switcher</x:v>
      </x:c>
      <x:c r="W104" s="14" t="str"/>
      <x:c r="X104" s="14" t="str"/>
      <x:c r="Y104" s="14" t="str"/>
      <x:c r="Z104" s="14" t="str"/>
    </x:row>
    <x:row r="105" ht="84" customHeight="1">
      <x:c r="A105" s="14" t="str">
        <x:v>IMP-WEB-0906</x:v>
      </x:c>
      <x:c r="B105" s="14" t="str">
        <x:v>S9 Security &amp; Multi-property</x:v>
      </x:c>
      <x:c r="C105" s="14" t="str">
        <x:v>WEB</x:v>
      </x:c>
      <x:c r="D105" s="14" t="str">
        <x:v>Privado</x:v>
      </x:c>
      <x:c r="E105" s="14" t="str">
        <x:v>WEB-2</x:v>
      </x:c>
      <x:c r="F105" s="14" t="str">
        <x:v>WEB-4</x:v>
      </x:c>
      <x:c r="G105" s="14" t="str">
        <x:v>properties</x:v>
      </x:c>
      <x:c r="H105" s="14" t="str">
        <x:v>FEATURE</x:v>
      </x:c>
      <x:c r="I105" s="14" t="str">
        <x:v>CRÍTICA</x:v>
      </x:c>
      <x:c r="J105" s="14" t="str">
        <x:v>PENDIENTE</x:v>
      </x:c>
      <x:c r="K105" s="14" t="str">
        <x:v>IMP-WEB-0905</x:v>
      </x:c>
      <x:c r="L105" s="14" t="str">
        <x:v>Multi-property Dashboard</x:v>
      </x:c>
      <x:c r="M105" s="14" t="str"/>
      <x:c r="N105" s="14" t="str">
        <x:v>/dashboard</x:v>
      </x:c>
      <x:c r="O105" s="14" t="str">
        <x:v>Implementar dashboard multi-property</x:v>
      </x:c>
      <x:c r="P105" s="14" t="str">
        <x:v>PROPERTY/ALL_PROPERTIES; per-property metrics + consolidated; role aware.</x:v>
      </x:c>
      <x:c r="Q105" s="14" t="str">
        <x:v>Aggregate after per-property calc; no unauthorized rows; scope visible.</x:v>
      </x:c>
      <x:c r="R105" s="14" t="str">
        <x:v>Dashboard contract listo.</x:v>
      </x:c>
      <x:c r="S105" s="14" t="str">
        <x:v>Aggregate tests + RTL.</x:v>
      </x:c>
      <x:c r="T105" s="14" t="str">
        <x:v>Vitest/RTL</x:v>
      </x:c>
      <x:c r="U105" s="14" t="str">
        <x:v>properties dashboard</x:v>
      </x:c>
      <x:c r="V105" s="14" t="str">
        <x:v>feature/multi-property-dashboard</x:v>
      </x:c>
      <x:c r="W105" s="14" t="str"/>
      <x:c r="X105" s="14" t="str"/>
      <x:c r="Y105" s="14" t="str"/>
      <x:c r="Z105" s="14" t="str"/>
    </x:row>
    <x:row r="106" ht="84" customHeight="1">
      <x:c r="A106" s="14" t="str">
        <x:v>IMP-WEB-0907</x:v>
      </x:c>
      <x:c r="B106" s="14" t="str">
        <x:v>S9 Security &amp; Multi-property</x:v>
      </x:c>
      <x:c r="C106" s="14" t="str">
        <x:v>WEB</x:v>
      </x:c>
      <x:c r="D106" s="14" t="str">
        <x:v>Privado</x:v>
      </x:c>
      <x:c r="E106" s="14" t="str">
        <x:v>WEB-2</x:v>
      </x:c>
      <x:c r="F106" s="14" t="str">
        <x:v>WEB-4</x:v>
      </x:c>
      <x:c r="G106" s="14" t="str">
        <x:v>properties/availability</x:v>
      </x:c>
      <x:c r="H106" s="14" t="str">
        <x:v>FEATURE</x:v>
      </x:c>
      <x:c r="I106" s="14" t="str">
        <x:v>ALTA</x:v>
      </x:c>
      <x:c r="J106" s="14" t="str">
        <x:v>PENDIENTE</x:v>
      </x:c>
      <x:c r="K106" s="14" t="str">
        <x:v>IMP-WEB-0905, IMP-WEB-0601</x:v>
      </x:c>
      <x:c r="L106" s="14" t="str">
        <x:v>Cross-property Availability</x:v>
      </x:c>
      <x:c r="M106" s="14" t="str"/>
      <x:c r="N106" s="14" t="str">
        <x:v>/disponibilidad-multi-property</x:v>
      </x:c>
      <x:c r="O106" s="14" t="str">
        <x:v>Implementar comparación entre properties</x:v>
      </x:c>
      <x:c r="P106" s="14" t="str">
        <x:v>Search dates/roomType; result per authorized property; labels/currency/time.</x:v>
      </x:c>
      <x:c r="Q106" s="14" t="str">
        <x:v>Only authorized; ATS separado por property; no implicit global.</x:v>
      </x:c>
      <x:c r="R106" s="14" t="str">
        <x:v>Cross-property contract listo.</x:v>
      </x:c>
      <x:c r="S106" s="14" t="str">
        <x:v>Authorization + result integration.</x:v>
      </x:c>
      <x:c r="T106" s="14" t="str">
        <x:v>Vitest/RTL</x:v>
      </x:c>
      <x:c r="U106" s="14" t="str">
        <x:v>cross-property availability</x:v>
      </x:c>
      <x:c r="V106" s="14" t="str">
        <x:v>feature/cross-property-availability</x:v>
      </x:c>
      <x:c r="W106" s="14" t="str"/>
      <x:c r="X106" s="14" t="str"/>
      <x:c r="Y106" s="14" t="str"/>
      <x:c r="Z106" s="14" t="str"/>
    </x:row>
    <x:row r="107" ht="84" customHeight="1">
      <x:c r="A107" s="14" t="str">
        <x:v>IMP-WEB-0908</x:v>
      </x:c>
      <x:c r="B107" s="14" t="str">
        <x:v>S9 Security &amp; Multi-property</x:v>
      </x:c>
      <x:c r="C107" s="14" t="str">
        <x:v>WEB</x:v>
      </x:c>
      <x:c r="D107" s="14" t="str">
        <x:v>Privado</x:v>
      </x:c>
      <x:c r="E107" s="14" t="str">
        <x:v>WEB-3</x:v>
      </x:c>
      <x:c r="F107" s="14" t="str">
        <x:v>WEB-2</x:v>
      </x:c>
      <x:c r="G107" s="14" t="str">
        <x:v>reports</x:v>
      </x:c>
      <x:c r="H107" s="14" t="str">
        <x:v>FEATURE</x:v>
      </x:c>
      <x:c r="I107" s="14" t="str">
        <x:v>ALTA</x:v>
      </x:c>
      <x:c r="J107" s="14" t="str">
        <x:v>PENDIENTE</x:v>
      </x:c>
      <x:c r="K107" s="14" t="str">
        <x:v>IMP-WEB-0017, IMP-WEB-0905</x:v>
      </x:c>
      <x:c r="L107" s="14" t="str">
        <x:v>V3 — 08 Reporting</x:v>
      </x:c>
      <x:c r="M107" s="14" t="str"/>
      <x:c r="N107" s="14" t="str">
        <x:v>/reportes</x:v>
      </x:c>
      <x:c r="O107" s="14" t="str">
        <x:v>Implementar catálogo/ejecución de reportes</x:v>
      </x:c>
      <x:c r="P107" s="14" t="str">
        <x:v>Reports por permission; parameters date/property; result; loading/error/empty.</x:v>
      </x:c>
      <x:c r="Q107" s="14" t="str">
        <x:v>Only permitted reports; property/date explicit; metrics no calculadas en component.</x:v>
      </x:c>
      <x:c r="R107" s="14" t="str">
        <x:v>Report contract listo.</x:v>
      </x:c>
      <x:c r="S107" s="14" t="str">
        <x:v>RTL permission + result.</x:v>
      </x:c>
      <x:c r="T107" s="14" t="str">
        <x:v>Vitest/RTL</x:v>
      </x:c>
      <x:c r="U107" s="14" t="str">
        <x:v>src/modules/reports/*</x:v>
      </x:c>
      <x:c r="V107" s="14" t="str">
        <x:v>feature/reports</x:v>
      </x:c>
      <x:c r="W107" s="14" t="str"/>
      <x:c r="X107" s="14" t="str"/>
      <x:c r="Y107" s="14" t="str"/>
      <x:c r="Z107" s="14" t="str"/>
    </x:row>
    <x:row r="108" ht="84" customHeight="1">
      <x:c r="A108" s="14" t="str">
        <x:v>IMP-WEB-0909</x:v>
      </x:c>
      <x:c r="B108" s="14" t="str">
        <x:v>S9 Security &amp; Multi-property</x:v>
      </x:c>
      <x:c r="C108" s="14" t="str">
        <x:v>WEB</x:v>
      </x:c>
      <x:c r="D108" s="14" t="str">
        <x:v>Privado</x:v>
      </x:c>
      <x:c r="E108" s="14" t="str">
        <x:v>WEB-3</x:v>
      </x:c>
      <x:c r="F108" s="14" t="str">
        <x:v>WEB-2</x:v>
      </x:c>
      <x:c r="G108" s="14" t="str">
        <x:v>reports</x:v>
      </x:c>
      <x:c r="H108" s="14" t="str">
        <x:v>FEATURE</x:v>
      </x:c>
      <x:c r="I108" s="14" t="str">
        <x:v>MEDIA</x:v>
      </x:c>
      <x:c r="J108" s="14" t="str">
        <x:v>PENDIENTE</x:v>
      </x:c>
      <x:c r="K108" s="14" t="str">
        <x:v>IMP-WEB-0908</x:v>
      </x:c>
      <x:c r="L108" s="14" t="str">
        <x:v>Reporting export</x:v>
      </x:c>
      <x:c r="M108" s="14" t="str"/>
      <x:c r="N108" s="14" t="str">
        <x:v>/reportes/[reportId]</x:v>
      </x:c>
      <x:c r="O108" s="14" t="str">
        <x:v>Implementar export</x:v>
      </x:c>
      <x:c r="P108" s="14" t="str">
        <x:v>Export permission; service; audit/ref if returned; no sensitive client cache.</x:v>
      </x:c>
      <x:c r="Q108" s="14" t="str">
        <x:v>Unauthorized export absent/blocked; property scope respected.</x:v>
      </x:c>
      <x:c r="R108" s="14" t="str">
        <x:v>Export contract listo.</x:v>
      </x:c>
      <x:c r="S108" s="14" t="str">
        <x:v>RTL permission.</x:v>
      </x:c>
      <x:c r="T108" s="14" t="str">
        <x:v>Vitest/RTL</x:v>
      </x:c>
      <x:c r="U108" s="14" t="str">
        <x:v>report export</x:v>
      </x:c>
      <x:c r="V108" s="14" t="str">
        <x:v>feature/report-export</x:v>
      </x:c>
      <x:c r="W108" s="14" t="str"/>
      <x:c r="X108" s="14" t="str"/>
      <x:c r="Y108" s="14" t="str"/>
      <x:c r="Z108" s="14" t="str"/>
    </x:row>
    <x:row r="109" ht="84" customHeight="1">
      <x:c r="A109" s="14" t="str">
        <x:v>IMP-WEB-0910</x:v>
      </x:c>
      <x:c r="B109" s="14" t="str">
        <x:v>S9 Security &amp; Multi-property</x:v>
      </x:c>
      <x:c r="C109" s="14" t="str">
        <x:v>WEB</x:v>
      </x:c>
      <x:c r="D109" s="14" t="str">
        <x:v>QA</x:v>
      </x:c>
      <x:c r="E109" s="14" t="str">
        <x:v>WEB-2</x:v>
      </x:c>
      <x:c r="F109" s="14" t="str">
        <x:v>WEB-3</x:v>
      </x:c>
      <x:c r="G109" s="14" t="str">
        <x:v>security/multiproperty</x:v>
      </x:c>
      <x:c r="H109" s="14" t="str">
        <x:v>QA</x:v>
      </x:c>
      <x:c r="I109" s="14" t="str">
        <x:v>CRÍTICA</x:v>
      </x:c>
      <x:c r="J109" s="14" t="str">
        <x:v>PENDIENTE</x:v>
      </x:c>
      <x:c r="K109" s="14" t="str">
        <x:v>IMP-WEB-0902, IMP-WEB-0903, IMP-WEB-0904, IMP-WEB-0906, IMP-WEB-0907, IMP-WEB-0909</x:v>
      </x:c>
      <x:c r="L109" s="14" t="str">
        <x:v>V3 — 07/08/09</x:v>
      </x:c>
      <x:c r="M109" s="14" t="str"/>
      <x:c r="N109" s="14" t="str">
        <x:v>/seguridad* /dashboard /reportes*</x:v>
      </x:c>
      <x:c r="O109" s="14" t="str">
        <x:v>QA Security/Privacy/Multi-property</x:v>
      </x:c>
      <x:c r="P109" s="14" t="str">
        <x:v>Roles/sessions/MFA/consent/scope/dashboard/search/reports/export.</x:v>
      </x:c>
      <x:c r="Q109" s="14" t="str">
        <x:v>0 data leaks; ALL_PROPERTIES explícito; no role change; granular consent; no secrets.</x:v>
      </x:c>
      <x:c r="R109" s="14" t="str">
        <x:v>S9 completo.</x:v>
      </x:c>
      <x:c r="S109" s="14" t="str">
        <x:v>Global DoD + security regression.</x:v>
      </x:c>
      <x:c r="T109" s="14" t="str">
        <x:v>npm run check + permission matrix</x:v>
      </x:c>
      <x:c r="U109" s="14" t="str">
        <x:v>S9</x:v>
      </x:c>
      <x:c r="V109" s="14" t="str">
        <x:v>test/security-multiproperty-regression</x:v>
      </x:c>
      <x:c r="W109" s="14" t="str"/>
      <x:c r="X109" s="14" t="str"/>
      <x:c r="Y109" s="14" t="str"/>
      <x:c r="Z109" s="14" t="str"/>
    </x:row>
    <x:row r="110" ht="84" customHeight="1">
      <x:c r="A110" s="14" t="str">
        <x:v>IMP-WEB-1001</x:v>
      </x:c>
      <x:c r="B110" s="14" t="str">
        <x:v>S10 Web Release</x:v>
      </x:c>
      <x:c r="C110" s="14" t="str">
        <x:v>WEB</x:v>
      </x:c>
      <x:c r="D110" s="14" t="str">
        <x:v>QA</x:v>
      </x:c>
      <x:c r="E110" s="14" t="str">
        <x:v>WEB-1</x:v>
      </x:c>
      <x:c r="F110" s="14" t="str">
        <x:v>WEB-2</x:v>
      </x:c>
      <x:c r="G110" s="14" t="str">
        <x:v>e2e</x:v>
      </x:c>
      <x:c r="H110" s="14" t="str">
        <x:v>E2E</x:v>
      </x:c>
      <x:c r="I110" s="14" t="str">
        <x:v>CRÍTICA</x:v>
      </x:c>
      <x:c r="J110" s="14" t="str">
        <x:v>PENDIENTE</x:v>
      </x:c>
      <x:c r="K110" s="14" t="str">
        <x:v>IMP-WEB-0113, IMP-WEB-0210, IMP-WEB-0309, IMP-WEB-0409, IMP-WEB-0509, IMP-WEB-0608, IMP-WEB-0711, IMP-WEB-0807, IMP-WEB-0910</x:v>
      </x:c>
      <x:c r="L110" s="14" t="str">
        <x:v>V3 — 12 QA / E2E</x:v>
      </x:c>
      <x:c r="M110" s="14" t="str">
        <x:v>1745:13252</x:v>
      </x:c>
      <x:c r="N110" s="14" t="str">
        <x:v>todas</x:v>
      </x:c>
      <x:c r="O110" s="14" t="str">
        <x:v>Instalar Playwright y baseline E2E</x:v>
      </x:c>
      <x:c r="P110" s="14" t="str">
        <x:v>Instalar solo ahora; baseURL; smoke public/private; test:e2e script; CI opcional estable.</x:v>
      </x:c>
      <x:c r="Q110" s="14" t="str">
        <x:v>Playwright no existía antes; smoke PASS; configuración documentada.</x:v>
      </x:c>
      <x:c r="R110" s="14" t="str">
        <x:v>Major sprints completos.</x:v>
      </x:c>
      <x:c r="S110" s="14" t="str">
        <x:v>E2E smoke PASS.</x:v>
      </x:c>
      <x:c r="T110" s="14" t="str">
        <x:v>Playwright</x:v>
      </x:c>
      <x:c r="U110" s="14" t="str">
        <x:v>playwright config/tests</x:v>
      </x:c>
      <x:c r="V110" s="14" t="str">
        <x:v>test/web-e2e</x:v>
      </x:c>
      <x:c r="W110" s="14" t="str"/>
      <x:c r="X110" s="14" t="str"/>
      <x:c r="Y110" s="14" t="str"/>
      <x:c r="Z110" s="14" t="str"/>
    </x:row>
    <x:row r="111" ht="84" customHeight="1">
      <x:c r="A111" s="14" t="str">
        <x:v>IMP-WEB-1002</x:v>
      </x:c>
      <x:c r="B111" s="14" t="str">
        <x:v>S10 Web Release</x:v>
      </x:c>
      <x:c r="C111" s="14" t="str">
        <x:v>WEB</x:v>
      </x:c>
      <x:c r="D111" s="14" t="str">
        <x:v>QA</x:v>
      </x:c>
      <x:c r="E111" s="14" t="str">
        <x:v>WEB-1</x:v>
      </x:c>
      <x:c r="F111" s="14" t="str">
        <x:v>WEB-3</x:v>
      </x:c>
      <x:c r="G111" s="14" t="str">
        <x:v>e2e</x:v>
      </x:c>
      <x:c r="H111" s="14" t="str">
        <x:v>E2E</x:v>
      </x:c>
      <x:c r="I111" s="14" t="str">
        <x:v>CRÍTICA</x:v>
      </x:c>
      <x:c r="J111" s="14" t="str">
        <x:v>PENDIENTE</x:v>
      </x:c>
      <x:c r="K111" s="14" t="str">
        <x:v>IMP-WEB-1001</x:v>
      </x:c>
      <x:c r="L111" s="14" t="str">
        <x:v>V3 — 12 QA / E2E</x:v>
      </x:c>
      <x:c r="M111" s="14" t="str"/>
      <x:c r="N111" s="14" t="str">
        <x:v>public</x:v>
      </x:c>
      <x:c r="O111" s="14" t="str">
        <x:v>E2E Public Booking + Account</x:v>
      </x:c>
      <x:c r="P111" s="14" t="str">
        <x:v>Single/multi-room, optional auth, confirmation, account/history/rewards/promos.</x:v>
      </x:c>
      <x:c r="Q111" s="14" t="str">
        <x:v>Critical public journeys PASS; failure path básico cubierto.</x:v>
      </x:c>
      <x:c r="R111" s="14" t="str">
        <x:v>E2E baseline listo.</x:v>
      </x:c>
      <x:c r="S111" s="14" t="str">
        <x:v>Playwright PASS.</x:v>
      </x:c>
      <x:c r="T111" s="14" t="str">
        <x:v>Playwright</x:v>
      </x:c>
      <x:c r="U111" s="14" t="str">
        <x:v>tests/e2e/public*</x:v>
      </x:c>
      <x:c r="V111" s="14" t="str">
        <x:v>test/public-e2e</x:v>
      </x:c>
      <x:c r="W111" s="14" t="str"/>
      <x:c r="X111" s="14" t="str"/>
      <x:c r="Y111" s="14" t="str"/>
      <x:c r="Z111" s="14" t="str"/>
    </x:row>
    <x:row r="112" ht="84" customHeight="1">
      <x:c r="A112" s="14" t="str">
        <x:v>IMP-WEB-1003</x:v>
      </x:c>
      <x:c r="B112" s="14" t="str">
        <x:v>S10 Web Release</x:v>
      </x:c>
      <x:c r="C112" s="14" t="str">
        <x:v>WEB</x:v>
      </x:c>
      <x:c r="D112" s="14" t="str">
        <x:v>QA</x:v>
      </x:c>
      <x:c r="E112" s="14" t="str">
        <x:v>WEB-3</x:v>
      </x:c>
      <x:c r="F112" s="14" t="str">
        <x:v>WEB-4</x:v>
      </x:c>
      <x:c r="G112" s="14" t="str">
        <x:v>e2e</x:v>
      </x:c>
      <x:c r="H112" s="14" t="str">
        <x:v>E2E</x:v>
      </x:c>
      <x:c r="I112" s="14" t="str">
        <x:v>CRÍTICA</x:v>
      </x:c>
      <x:c r="J112" s="14" t="str">
        <x:v>PENDIENTE</x:v>
      </x:c>
      <x:c r="K112" s="14" t="str">
        <x:v>IMP-WEB-1001</x:v>
      </x:c>
      <x:c r="L112" s="14" t="str">
        <x:v>V3 — 12 QA / E2E</x:v>
      </x:c>
      <x:c r="M112" s="14" t="str"/>
      <x:c r="N112" s="14" t="str">
        <x:v>private</x:v>
      </x:c>
      <x:c r="O112" s="14" t="str">
        <x:v>E2E Reservation/Finance/Operations</x:v>
      </x:c>
      <x:c r="P112" s="14" t="str">
        <x:v>Cancel/no-show/waitlist/move/extension; folio/payment; discrepancy/OOO-OOS.</x:v>
      </x:c>
      <x:c r="Q112" s="14" t="str">
        <x:v>Critical private journeys PASS; no false success.</x:v>
      </x:c>
      <x:c r="R112" s="14" t="str">
        <x:v>E2E baseline listo.</x:v>
      </x:c>
      <x:c r="S112" s="14" t="str">
        <x:v>Playwright PASS.</x:v>
      </x:c>
      <x:c r="T112" s="14" t="str">
        <x:v>Playwright</x:v>
      </x:c>
      <x:c r="U112" s="14" t="str">
        <x:v>tests/e2e/private*</x:v>
      </x:c>
      <x:c r="V112" s="14" t="str">
        <x:v>test/private-e2e</x:v>
      </x:c>
      <x:c r="W112" s="14" t="str"/>
      <x:c r="X112" s="14" t="str"/>
      <x:c r="Y112" s="14" t="str"/>
      <x:c r="Z112" s="14" t="str"/>
    </x:row>
    <x:row r="113" ht="84" customHeight="1">
      <x:c r="A113" s="14" t="str">
        <x:v>IMP-WEB-1004</x:v>
      </x:c>
      <x:c r="B113" s="14" t="str">
        <x:v>S10 Web Release</x:v>
      </x:c>
      <x:c r="C113" s="14" t="str">
        <x:v>WEB</x:v>
      </x:c>
      <x:c r="D113" s="14" t="str">
        <x:v>QA</x:v>
      </x:c>
      <x:c r="E113" s="14" t="str">
        <x:v>WEB-2</x:v>
      </x:c>
      <x:c r="F113" s="14" t="str">
        <x:v>WEB-4</x:v>
      </x:c>
      <x:c r="G113" s="14" t="str">
        <x:v>e2e</x:v>
      </x:c>
      <x:c r="H113" s="14" t="str">
        <x:v>E2E</x:v>
      </x:c>
      <x:c r="I113" s="14" t="str">
        <x:v>CRÍTICA</x:v>
      </x:c>
      <x:c r="J113" s="14" t="str">
        <x:v>PENDIENTE</x:v>
      </x:c>
      <x:c r="K113" s="14" t="str">
        <x:v>IMP-WEB-1001</x:v>
      </x:c>
      <x:c r="L113" s="14" t="str">
        <x:v>V3 — 12 QA / E2E</x:v>
      </x:c>
      <x:c r="M113" s="14" t="str"/>
      <x:c r="N113" s="14" t="str">
        <x:v>security/multi-property</x:v>
      </x:c>
      <x:c r="O113" s="14" t="str">
        <x:v>E2E Security/Multi-property</x:v>
      </x:c>
      <x:c r="P113" s="14" t="str">
        <x:v>Role permissions; property switch; unauthorized absence; consent channels; report export.</x:v>
      </x:c>
      <x:c r="Q113" s="14" t="str">
        <x:v>0 leak; ALL_PROPERTIES explicit; journeys PASS.</x:v>
      </x:c>
      <x:c r="R113" s="14" t="str">
        <x:v>E2E baseline listo.</x:v>
      </x:c>
      <x:c r="S113" s="14" t="str">
        <x:v>Playwright PASS.</x:v>
      </x:c>
      <x:c r="T113" s="14" t="str">
        <x:v>Playwright</x:v>
      </x:c>
      <x:c r="U113" s="14" t="str">
        <x:v>tests/e2e/security*</x:v>
      </x:c>
      <x:c r="V113" s="14" t="str">
        <x:v>test/security-e2e</x:v>
      </x:c>
      <x:c r="W113" s="14" t="str"/>
      <x:c r="X113" s="14" t="str"/>
      <x:c r="Y113" s="14" t="str"/>
      <x:c r="Z113" s="14" t="str"/>
    </x:row>
    <x:row r="114" ht="84" customHeight="1">
      <x:c r="A114" s="14" t="str">
        <x:v>IMP-WEB-1005</x:v>
      </x:c>
      <x:c r="B114" s="14" t="str">
        <x:v>S10 Web Release</x:v>
      </x:c>
      <x:c r="C114" s="14" t="str">
        <x:v>WEB</x:v>
      </x:c>
      <x:c r="D114" s="14" t="str">
        <x:v>QA</x:v>
      </x:c>
      <x:c r="E114" s="14" t="str">
        <x:v>WEB-2</x:v>
      </x:c>
      <x:c r="F114" s="14" t="str">
        <x:v>WEB-1</x:v>
      </x:c>
      <x:c r="G114" s="14" t="str">
        <x:v>accessibility</x:v>
      </x:c>
      <x:c r="H114" s="14" t="str">
        <x:v>QA</x:v>
      </x:c>
      <x:c r="I114" s="14" t="str">
        <x:v>CRÍTICA</x:v>
      </x:c>
      <x:c r="J114" s="14" t="str">
        <x:v>PENDIENTE</x:v>
      </x:c>
      <x:c r="K114" s="14" t="str">
        <x:v>IMP-WEB-1002, IMP-WEB-1003, IMP-WEB-1004</x:v>
      </x:c>
      <x:c r="L114" s="14" t="str">
        <x:v>Final regression</x:v>
      </x:c>
      <x:c r="M114" s="14" t="str">
        <x:v>1745:13252</x:v>
      </x:c>
      <x:c r="N114" s="14" t="str">
        <x:v>todas</x:v>
      </x:c>
      <x:c r="O114" s="14" t="str">
        <x:v>Auditoría final accesibilidad</x:v>
      </x:c>
      <x:c r="P114" s="14" t="str">
        <x:v>Keyboard/focus/labels/contrast/target &gt;=24x24/auth paste/autocomplete/errors.</x:v>
      </x:c>
      <x:c r="Q114" s="14" t="str">
        <x:v>0 defectos críticos/altos; journeys críticos por teclado.</x:v>
      </x:c>
      <x:c r="R114" s="14" t="str">
        <x:v>E2E PASS.</x:v>
      </x:c>
      <x:c r="S114" s="14" t="str">
        <x:v>A11y audit PASS.</x:v>
      </x:c>
      <x:c r="T114" s="14" t="str">
        <x:v>manual/tooling</x:v>
      </x:c>
      <x:c r="U114" s="14" t="str">
        <x:v>whole web</x:v>
      </x:c>
      <x:c r="V114" s="14" t="str">
        <x:v>test/a11y-final</x:v>
      </x:c>
      <x:c r="W114" s="14" t="str"/>
      <x:c r="X114" s="14" t="str"/>
      <x:c r="Y114" s="14" t="str"/>
      <x:c r="Z114" s="14" t="str"/>
    </x:row>
    <x:row r="115" ht="84" customHeight="1">
      <x:c r="A115" s="14" t="str">
        <x:v>IMP-WEB-1006</x:v>
      </x:c>
      <x:c r="B115" s="14" t="str">
        <x:v>S10 Web Release</x:v>
      </x:c>
      <x:c r="C115" s="14" t="str">
        <x:v>WEB</x:v>
      </x:c>
      <x:c r="D115" s="14" t="str">
        <x:v>QA</x:v>
      </x:c>
      <x:c r="E115" s="14" t="str">
        <x:v>WEB-4</x:v>
      </x:c>
      <x:c r="F115" s="14" t="str">
        <x:v>WEB-1</x:v>
      </x:c>
      <x:c r="G115" s="14" t="str">
        <x:v>release</x:v>
      </x:c>
      <x:c r="H115" s="14" t="str">
        <x:v>QA</x:v>
      </x:c>
      <x:c r="I115" s="14" t="str">
        <x:v>CRÍTICA</x:v>
      </x:c>
      <x:c r="J115" s="14" t="str">
        <x:v>PENDIENTE</x:v>
      </x:c>
      <x:c r="K115" s="14" t="str">
        <x:v>IMP-WEB-1005</x:v>
      </x:c>
      <x:c r="L115" s="14" t="str">
        <x:v>Final regression</x:v>
      </x:c>
      <x:c r="M115" s="14" t="str">
        <x:v>1745:13252</x:v>
      </x:c>
      <x:c r="N115" s="14" t="str">
        <x:v>todas</x:v>
      </x:c>
      <x:c r="O115" s="14" t="str">
        <x:v>Regresión final Web</x:v>
      </x:c>
      <x:c r="P115" s="14" t="str">
        <x:v>npm run check + e2e + routes + roles/sidebar + no legacy/V1 + no dead controls + docs.</x:v>
      </x:c>
      <x:c r="Q115" s="14" t="str">
        <x:v>0 critical/high; all checks PASS; architecture clean; release candidate.</x:v>
      </x:c>
      <x:c r="R115" s="14" t="str">
        <x:v>All Web tasks done.</x:v>
      </x:c>
      <x:c r="S115" s="14" t="str">
        <x:v>Release DoD PASS.</x:v>
      </x:c>
      <x:c r="T115" s="14" t="str">
        <x:v>npm run check + test:e2e + manual</x:v>
      </x:c>
      <x:c r="U115" s="14" t="str">
        <x:v>whole web</x:v>
      </x:c>
      <x:c r="V115" s="14" t="str">
        <x:v>release/web-rc</x:v>
      </x:c>
      <x:c r="W115" s="14" t="str"/>
      <x:c r="X115" s="14" t="str"/>
      <x:c r="Y115" s="14" t="str"/>
      <x:c r="Z115" s="14" t="str"/>
    </x:row>
    <x:row r="116" ht="84" customHeight="1">
      <x:c r="A116" s="14" t="str">
        <x:v>IMP-AND-0001</x:v>
      </x:c>
      <x:c r="B116" s="14" t="str">
        <x:v>S0 Android Foundation</x:v>
      </x:c>
      <x:c r="C116" s="14" t="str">
        <x:v>ANDROID</x:v>
      </x:c>
      <x:c r="D116" s="14" t="str">
        <x:v>Infra</x:v>
      </x:c>
      <x:c r="E116" s="14" t="str">
        <x:v>ANDROID-1</x:v>
      </x:c>
      <x:c r="F116" s="14" t="str">
        <x:v>WEB-2</x:v>
      </x:c>
      <x:c r="G116" s="14" t="str">
        <x:v>android-foundation</x:v>
      </x:c>
      <x:c r="H116" s="14" t="str">
        <x:v>DOC</x:v>
      </x:c>
      <x:c r="I116" s="14" t="str">
        <x:v>CRÍTICA</x:v>
      </x:c>
      <x:c r="J116" s="14" t="str">
        <x:v>READY</x:v>
      </x:c>
      <x:c r="K116" s="14" t="str"/>
      <x:c r="L116" s="14" t="str">
        <x:v>Implementation Ready — Android V2 + V3</x:v>
      </x:c>
      <x:c r="M116" s="14" t="str">
        <x:v>238:132</x:v>
      </x:c>
      <x:c r="N116" s="14" t="str">
        <x:v>N/A</x:v>
      </x:c>
      <x:c r="O116" s="14" t="str">
        <x:v>Confirmar stack Android</x:v>
      </x:c>
      <x:c r="P116" s="14" t="str">
        <x:v>Validar con docente lenguaje/UI toolkit/min SDK/Gradle/arquitectura; registrar DEC antes de proyecto.</x:v>
      </x:c>
      <x:c r="Q116" s="14" t="str">
        <x:v>Stack aprobado/documentado; no asumir Compose/XML/Kotlin/Java sin confirmación.</x:v>
      </x:c>
      <x:c r="R116" s="14" t="str">
        <x:v>Requisito docente disponible.</x:v>
      </x:c>
      <x:c r="S116" s="14" t="str">
        <x:v>Review documental PASS.</x:v>
      </x:c>
      <x:c r="T116" s="14" t="str">
        <x:v>manual</x:v>
      </x:c>
      <x:c r="U116" s="14" t="str">
        <x:v>docs Android + ADR</x:v>
      </x:c>
      <x:c r="V116" s="14" t="str">
        <x:v>chore/android-sprint-0</x:v>
      </x:c>
      <x:c r="W116" s="14" t="str"/>
      <x:c r="X116" s="14" t="str"/>
      <x:c r="Y116" s="14" t="str"/>
      <x:c r="Z116" s="14" t="str"/>
    </x:row>
    <x:row r="117" ht="84" customHeight="1">
      <x:c r="A117" s="14" t="str">
        <x:v>IMP-AND-0002</x:v>
      </x:c>
      <x:c r="B117" s="14" t="str">
        <x:v>S0 Android Foundation</x:v>
      </x:c>
      <x:c r="C117" s="14" t="str">
        <x:v>ANDROID</x:v>
      </x:c>
      <x:c r="D117" s="14" t="str">
        <x:v>Infra</x:v>
      </x:c>
      <x:c r="E117" s="14" t="str">
        <x:v>ANDROID-1</x:v>
      </x:c>
      <x:c r="F117" s="14" t="str">
        <x:v>WEB-2</x:v>
      </x:c>
      <x:c r="G117" s="14" t="str">
        <x:v>android-foundation</x:v>
      </x:c>
      <x:c r="H117" s="14" t="str">
        <x:v>INFRA</x:v>
      </x:c>
      <x:c r="I117" s="14" t="str">
        <x:v>CRÍTICA</x:v>
      </x:c>
      <x:c r="J117" s="14" t="str">
        <x:v>PENDIENTE</x:v>
      </x:c>
      <x:c r="K117" s="14" t="str">
        <x:v>IMP-AND-0001</x:v>
      </x:c>
      <x:c r="L117" s="14" t="str">
        <x:v>Android architecture docs</x:v>
      </x:c>
      <x:c r="M117" s="14" t="str">
        <x:v>238:132</x:v>
      </x:c>
      <x:c r="N117" s="14" t="str">
        <x:v>N/A</x:v>
      </x:c>
      <x:c r="O117" s="14" t="str">
        <x:v>Inicializar proyecto Android</x:v>
      </x:c>
      <x:c r="P117" s="14" t="str">
        <x:v>Crear dentro frontend/pms-hotel-android; no git init; conservar docs; build mínimo.</x:v>
      </x:c>
      <x:c r="Q117" s="14" t="str">
        <x:v>Proyecto compila; un solo .git; no feature screens.</x:v>
      </x:c>
      <x:c r="R117" s="14" t="str">
        <x:v>0001 COMPLETADA.</x:v>
      </x:c>
      <x:c r="S117" s="14" t="str">
        <x:v>Build PASS.</x:v>
      </x:c>
      <x:c r="T117" s="14" t="str">
        <x:v>Gradle build/assemble</x:v>
      </x:c>
      <x:c r="U117" s="14" t="str">
        <x:v>project files</x:v>
      </x:c>
      <x:c r="V117" s="14" t="str">
        <x:v>chore/android-sprint-0</x:v>
      </x:c>
      <x:c r="W117" s="14" t="str"/>
      <x:c r="X117" s="14" t="str"/>
      <x:c r="Y117" s="14" t="str"/>
      <x:c r="Z117" s="14" t="str"/>
    </x:row>
    <x:row r="118" ht="84" customHeight="1">
      <x:c r="A118" s="14" t="str">
        <x:v>IMP-AND-0003</x:v>
      </x:c>
      <x:c r="B118" s="14" t="str">
        <x:v>S0 Android Foundation</x:v>
      </x:c>
      <x:c r="C118" s="14" t="str">
        <x:v>ANDROID</x:v>
      </x:c>
      <x:c r="D118" s="14" t="str">
        <x:v>Design System</x:v>
      </x:c>
      <x:c r="E118" s="14" t="str">
        <x:v>ANDROID-1</x:v>
      </x:c>
      <x:c r="F118" s="14" t="str">
        <x:v>WEB-1</x:v>
      </x:c>
      <x:c r="G118" s="14" t="str">
        <x:v>android-theme</x:v>
      </x:c>
      <x:c r="H118" s="14" t="str">
        <x:v>INFRA</x:v>
      </x:c>
      <x:c r="I118" s="14" t="str">
        <x:v>ALTA</x:v>
      </x:c>
      <x:c r="J118" s="14" t="str">
        <x:v>PENDIENTE</x:v>
      </x:c>
      <x:c r="K118" s="14" t="str">
        <x:v>IMP-AND-0002</x:v>
      </x:c>
      <x:c r="L118" s="14" t="str">
        <x:v>Android Final</x:v>
      </x:c>
      <x:c r="M118" s="14" t="str">
        <x:v>238:132</x:v>
      </x:c>
      <x:c r="N118" s="14" t="str">
        <x:v>N/A</x:v>
      </x:c>
      <x:c r="O118" s="14" t="str">
        <x:v>Crear theme/tokens Android</x:v>
      </x:c>
      <x:c r="P118" s="14" t="str">
        <x:v>Mapear tokens Figma al mecanismo Android; no inventar dark mode.</x:v>
      </x:c>
      <x:c r="Q118" s="14" t="str">
        <x:v>Theme refleja Figma; semantic tokens; no random hardcodes.</x:v>
      </x:c>
      <x:c r="R118" s="14" t="str">
        <x:v>Proyecto buildable.</x:v>
      </x:c>
      <x:c r="S118" s="14" t="str">
        <x:v>Visual smoke + build.</x:v>
      </x:c>
      <x:c r="T118" s="14" t="str">
        <x:v>build</x:v>
      </x:c>
      <x:c r="U118" s="14" t="str">
        <x:v>theme resources</x:v>
      </x:c>
      <x:c r="V118" s="14" t="str">
        <x:v>chore/android-sprint-0</x:v>
      </x:c>
      <x:c r="W118" s="14" t="str"/>
      <x:c r="X118" s="14" t="str"/>
      <x:c r="Y118" s="14" t="str"/>
      <x:c r="Z118" s="14" t="str"/>
    </x:row>
    <x:row r="119" ht="84" customHeight="1">
      <x:c r="A119" s="14" t="str">
        <x:v>IMP-AND-0004</x:v>
      </x:c>
      <x:c r="B119" s="14" t="str">
        <x:v>S0 Android Foundation</x:v>
      </x:c>
      <x:c r="C119" s="14" t="str">
        <x:v>ANDROID</x:v>
      </x:c>
      <x:c r="D119" s="14" t="str">
        <x:v>Arquitectura</x:v>
      </x:c>
      <x:c r="E119" s="14" t="str">
        <x:v>ANDROID-1</x:v>
      </x:c>
      <x:c r="F119" s="14" t="str">
        <x:v>WEB-3</x:v>
      </x:c>
      <x:c r="G119" s="14" t="str">
        <x:v>android-layers</x:v>
      </x:c>
      <x:c r="H119" s="14" t="str">
        <x:v>INFRA</x:v>
      </x:c>
      <x:c r="I119" s="14" t="str">
        <x:v>CRÍTICA</x:v>
      </x:c>
      <x:c r="J119" s="14" t="str">
        <x:v>PENDIENTE</x:v>
      </x:c>
      <x:c r="K119" s="14" t="str">
        <x:v>IMP-AND-0002</x:v>
      </x:c>
      <x:c r="L119" s="14" t="str">
        <x:v>Android layered flow</x:v>
      </x:c>
      <x:c r="M119" s="14" t="str"/>
      <x:c r="N119" s="14" t="str">
        <x:v>N/A</x:v>
      </x:c>
      <x:c r="O119" s="14" t="str">
        <x:v>Crear capas Remote-&gt;DTO-&gt;Mapper-&gt;Domain-&gt;UI/State</x:v>
      </x:c>
      <x:c r="P119" s="14" t="str">
        <x:v>Packages base; sample técnico mínimo si requiere compilar; no business modules masivos.</x:v>
      </x:c>
      <x:c r="Q119" s="14" t="str">
        <x:v>Direction clara; UI no hace network directo ni consume DTO.</x:v>
      </x:c>
      <x:c r="R119" s="14" t="str">
        <x:v>Stack aprobado.</x:v>
      </x:c>
      <x:c r="S119" s="14" t="str">
        <x:v>Architecture review + build.</x:v>
      </x:c>
      <x:c r="T119" s="14" t="str">
        <x:v>build</x:v>
      </x:c>
      <x:c r="U119" s="14" t="str">
        <x:v>layer folders</x:v>
      </x:c>
      <x:c r="V119" s="14" t="str">
        <x:v>chore/android-sprint-0</x:v>
      </x:c>
      <x:c r="W119" s="14" t="str"/>
      <x:c r="X119" s="14" t="str"/>
      <x:c r="Y119" s="14" t="str"/>
      <x:c r="Z119" s="14" t="str"/>
    </x:row>
    <x:row r="120" ht="84" customHeight="1">
      <x:c r="A120" s="14" t="str">
        <x:v>IMP-AND-0005</x:v>
      </x:c>
      <x:c r="B120" s="14" t="str">
        <x:v>S0 Android Foundation</x:v>
      </x:c>
      <x:c r="C120" s="14" t="str">
        <x:v>ANDROID</x:v>
      </x:c>
      <x:c r="D120" s="14" t="str">
        <x:v>Infra</x:v>
      </x:c>
      <x:c r="E120" s="14" t="str">
        <x:v>ANDROID-1</x:v>
      </x:c>
      <x:c r="F120" s="14" t="str">
        <x:v>WEB-4</x:v>
      </x:c>
      <x:c r="G120" s="14" t="str">
        <x:v>remote</x:v>
      </x:c>
      <x:c r="H120" s="14" t="str">
        <x:v>INFRA</x:v>
      </x:c>
      <x:c r="I120" s="14" t="str">
        <x:v>CRÍTICA</x:v>
      </x:c>
      <x:c r="J120" s="14" t="str">
        <x:v>PENDIENTE</x:v>
      </x:c>
      <x:c r="K120" s="14" t="str">
        <x:v>IMP-AND-0004</x:v>
      </x:c>
      <x:c r="L120" s="14" t="str">
        <x:v>Android remote layer</x:v>
      </x:c>
      <x:c r="M120" s="14" t="str"/>
      <x:c r="N120" s="14" t="str">
        <x:v>N/A</x:v>
      </x:c>
      <x:c r="O120" s="14" t="str">
        <x:v>Configurar cliente remoto</x:v>
      </x:c>
      <x:c r="P120" s="14" t="str">
        <x:v>Base URL/env; transport errors; no endpoints business; no secrets.</x:v>
      </x:c>
      <x:c r="Q120" s="14" t="str">
        <x:v>Remote reusable; no hardcoded token; errors tipados.</x:v>
      </x:c>
      <x:c r="R120" s="14" t="str">
        <x:v>0004 COMPLETADA.</x:v>
      </x:c>
      <x:c r="S120" s="14" t="str">
        <x:v>Unit transport test.</x:v>
      </x:c>
      <x:c r="T120" s="14" t="str">
        <x:v>unit/build</x:v>
      </x:c>
      <x:c r="U120" s="14" t="str">
        <x:v>remote client</x:v>
      </x:c>
      <x:c r="V120" s="14" t="str">
        <x:v>chore/android-sprint-0</x:v>
      </x:c>
      <x:c r="W120" s="14" t="str"/>
      <x:c r="X120" s="14" t="str"/>
      <x:c r="Y120" s="14" t="str"/>
      <x:c r="Z120" s="14" t="str"/>
    </x:row>
    <x:row r="121" ht="84" customHeight="1">
      <x:c r="A121" s="14" t="str">
        <x:v>IMP-AND-0006</x:v>
      </x:c>
      <x:c r="B121" s="14" t="str">
        <x:v>S0 Android Foundation</x:v>
      </x:c>
      <x:c r="C121" s="14" t="str">
        <x:v>ANDROID</x:v>
      </x:c>
      <x:c r="D121" s="14" t="str">
        <x:v>Testing</x:v>
      </x:c>
      <x:c r="E121" s="14" t="str">
        <x:v>ANDROID-1</x:v>
      </x:c>
      <x:c r="F121" s="14" t="str">
        <x:v>WEB-3</x:v>
      </x:c>
      <x:c r="G121" s="14" t="str">
        <x:v>testing</x:v>
      </x:c>
      <x:c r="H121" s="14" t="str">
        <x:v>INFRA</x:v>
      </x:c>
      <x:c r="I121" s="14" t="str">
        <x:v>CRÍTICA</x:v>
      </x:c>
      <x:c r="J121" s="14" t="str">
        <x:v>PENDIENTE</x:v>
      </x:c>
      <x:c r="K121" s="14" t="str">
        <x:v>IMP-AND-0002</x:v>
      </x:c>
      <x:c r="L121" s="14" t="str">
        <x:v>Android testing docs</x:v>
      </x:c>
      <x:c r="M121" s="14" t="str"/>
      <x:c r="N121" s="14" t="str">
        <x:v>N/A</x:v>
      </x:c>
      <x:c r="O121" s="14" t="str">
        <x:v>Configurar tests baseline</x:v>
      </x:c>
      <x:c r="P121" s="14" t="str">
        <x:v>Unit mapper/state + UI test capability según stack.</x:v>
      </x:c>
      <x:c r="Q121" s="14" t="str">
        <x:v>Test command PASS con smoke tests.</x:v>
      </x:c>
      <x:c r="R121" s="14" t="str">
        <x:v>Project buildable.</x:v>
      </x:c>
      <x:c r="S121" s="14" t="str">
        <x:v>Tests PASS.</x:v>
      </x:c>
      <x:c r="T121" s="14" t="str">
        <x:v>unit/ui smoke</x:v>
      </x:c>
      <x:c r="U121" s="14" t="str">
        <x:v>test config</x:v>
      </x:c>
      <x:c r="V121" s="14" t="str">
        <x:v>chore/android-sprint-0</x:v>
      </x:c>
      <x:c r="W121" s="14" t="str"/>
      <x:c r="X121" s="14" t="str"/>
      <x:c r="Y121" s="14" t="str"/>
      <x:c r="Z121" s="14" t="str"/>
    </x:row>
    <x:row r="122" ht="84" customHeight="1">
      <x:c r="A122" s="14" t="str">
        <x:v>IMP-AND-0007</x:v>
      </x:c>
      <x:c r="B122" s="14" t="str">
        <x:v>S0 Android Foundation</x:v>
      </x:c>
      <x:c r="C122" s="14" t="str">
        <x:v>ANDROID</x:v>
      </x:c>
      <x:c r="D122" s="14" t="str">
        <x:v>Navigation</x:v>
      </x:c>
      <x:c r="E122" s="14" t="str">
        <x:v>ANDROID-1</x:v>
      </x:c>
      <x:c r="F122" s="14" t="str">
        <x:v>WEB-2</x:v>
      </x:c>
      <x:c r="G122" s="14" t="str">
        <x:v>navigation</x:v>
      </x:c>
      <x:c r="H122" s="14" t="str">
        <x:v>INFRA</x:v>
      </x:c>
      <x:c r="I122" s="14" t="str">
        <x:v>ALTA</x:v>
      </x:c>
      <x:c r="J122" s="14" t="str">
        <x:v>PENDIENTE</x:v>
      </x:c>
      <x:c r="K122" s="14" t="str">
        <x:v>IMP-AND-0002, IMP-AND-0003</x:v>
      </x:c>
      <x:c r="L122" s="14" t="str">
        <x:v>Android final flows</x:v>
      </x:c>
      <x:c r="M122" s="14" t="str">
        <x:v>238:132</x:v>
      </x:c>
      <x:c r="N122" s="14" t="str">
        <x:v>N/A</x:v>
      </x:c>
      <x:c r="O122" s="14" t="str">
        <x:v>Configurar navegación técnica</x:v>
      </x:c>
      <x:c r="P122" s="14" t="str">
        <x:v>Destinations Stay/Account/Loyalty/States sin screens finales; back stack policy.</x:v>
      </x:c>
      <x:c r="Q122" s="14" t="str">
        <x:v>Navigation compila; 0 business logic placeholder.</x:v>
      </x:c>
      <x:c r="R122" s="14" t="str">
        <x:v>Stack/navigation approved.</x:v>
      </x:c>
      <x:c r="S122" s="14" t="str">
        <x:v>Navigation smoke.</x:v>
      </x:c>
      <x:c r="T122" s="14" t="str">
        <x:v>ui smoke</x:v>
      </x:c>
      <x:c r="U122" s="14" t="str">
        <x:v>navigation foundation</x:v>
      </x:c>
      <x:c r="V122" s="14" t="str">
        <x:v>chore/android-sprint-0</x:v>
      </x:c>
      <x:c r="W122" s="14" t="str"/>
      <x:c r="X122" s="14" t="str"/>
      <x:c r="Y122" s="14" t="str"/>
      <x:c r="Z122" s="14" t="str"/>
    </x:row>
    <x:row r="123" ht="84" customHeight="1">
      <x:c r="A123" s="14" t="str">
        <x:v>IMP-AND-0008</x:v>
      </x:c>
      <x:c r="B123" s="14" t="str">
        <x:v>S0 Android Foundation</x:v>
      </x:c>
      <x:c r="C123" s="14" t="str">
        <x:v>ANDROID</x:v>
      </x:c>
      <x:c r="D123" s="14" t="str">
        <x:v>Mocks/State</x:v>
      </x:c>
      <x:c r="E123" s="14" t="str">
        <x:v>ANDROID-1</x:v>
      </x:c>
      <x:c r="F123" s="14" t="str">
        <x:v>WEB-3</x:v>
      </x:c>
      <x:c r="G123" s="14" t="str">
        <x:v>mocks-state</x:v>
      </x:c>
      <x:c r="H123" s="14" t="str">
        <x:v>INFRA</x:v>
      </x:c>
      <x:c r="I123" s="14" t="str">
        <x:v>ALTA</x:v>
      </x:c>
      <x:c r="J123" s="14" t="str">
        <x:v>PENDIENTE</x:v>
      </x:c>
      <x:c r="K123" s="14" t="str">
        <x:v>IMP-AND-0004, IMP-AND-0005</x:v>
      </x:c>
      <x:c r="L123" s="14" t="str">
        <x:v>Android offline/state docs</x:v>
      </x:c>
      <x:c r="M123" s="14" t="str"/>
      <x:c r="N123" s="14" t="str">
        <x:v>N/A</x:v>
      </x:c>
      <x:c r="O123" s="14" t="str">
        <x:v>Configurar mock remote + state pattern</x:v>
      </x:c>
      <x:c r="P123" s="14" t="str">
        <x:v>Mocks DTO remote success/null/empty/error/offline; state holder Loading/Success/Empty/Error/Offline.</x:v>
      </x:c>
      <x:c r="Q123" s="14" t="str">
        <x:v>UI futura puede cambiar mock por real sin tocar Domain; offline explicit.</x:v>
      </x:c>
      <x:c r="R123" s="14" t="str">
        <x:v>Remote layers ready.</x:v>
      </x:c>
      <x:c r="S123" s="14" t="str">
        <x:v>Unit tests.</x:v>
      </x:c>
      <x:c r="T123" s="14" t="str">
        <x:v>unit</x:v>
      </x:c>
      <x:c r="U123" s="14" t="str">
        <x:v>mock/state base</x:v>
      </x:c>
      <x:c r="V123" s="14" t="str">
        <x:v>chore/android-sprint-0</x:v>
      </x:c>
      <x:c r="W123" s="14" t="str"/>
      <x:c r="X123" s="14" t="str"/>
      <x:c r="Y123" s="14" t="str"/>
      <x:c r="Z123" s="14" t="str"/>
    </x:row>
    <x:row r="124" ht="84" customHeight="1">
      <x:c r="A124" s="14" t="str">
        <x:v>IMP-AND-0009</x:v>
      </x:c>
      <x:c r="B124" s="14" t="str">
        <x:v>S0 Android Foundation</x:v>
      </x:c>
      <x:c r="C124" s="14" t="str">
        <x:v>ANDROID</x:v>
      </x:c>
      <x:c r="D124" s="14" t="str">
        <x:v>QA</x:v>
      </x:c>
      <x:c r="E124" s="14" t="str">
        <x:v>ANDROID-1</x:v>
      </x:c>
      <x:c r="F124" s="14" t="str">
        <x:v>WEB-2</x:v>
      </x:c>
      <x:c r="G124" s="14" t="str">
        <x:v>foundation</x:v>
      </x:c>
      <x:c r="H124" s="14" t="str">
        <x:v>QA</x:v>
      </x:c>
      <x:c r="I124" s="14" t="str">
        <x:v>CRÍTICA</x:v>
      </x:c>
      <x:c r="J124" s="14" t="str">
        <x:v>PENDIENTE</x:v>
      </x:c>
      <x:c r="K124" s="14" t="str">
        <x:v>IMP-AND-0002, IMP-AND-0003, IMP-AND-0004, IMP-AND-0005, IMP-AND-0006, IMP-AND-0007, IMP-AND-0008</x:v>
      </x:c>
      <x:c r="L124" s="14" t="str">
        <x:v>Android foundation</x:v>
      </x:c>
      <x:c r="M124" s="14" t="str">
        <x:v>238:132</x:v>
      </x:c>
      <x:c r="N124" s="14" t="str">
        <x:v>N/A</x:v>
      </x:c>
      <x:c r="O124" s="14" t="str">
        <x:v>Cerrar Sprint 0 Android</x:v>
      </x:c>
      <x:c r="P124" s="14" t="str">
        <x:v>Build/tests/navigation/theme/remote/mock/layers/docs; 0 feature final.</x:v>
      </x:c>
      <x:c r="Q124" s="14" t="str">
        <x:v>All checks PASS; no DTO UI; no secrets; ready features.</x:v>
      </x:c>
      <x:c r="R124" s="14" t="str">
        <x:v>Dependencies complete.</x:v>
      </x:c>
      <x:c r="S124" s="14" t="str">
        <x:v>Android Global DoD.</x:v>
      </x:c>
      <x:c r="T124" s="14" t="str">
        <x:v>build + tests</x:v>
      </x:c>
      <x:c r="U124" s="14" t="str">
        <x:v>Android foundation</x:v>
      </x:c>
      <x:c r="V124" s="14" t="str">
        <x:v>chore/android-sprint-0</x:v>
      </x:c>
      <x:c r="W124" s="14" t="str"/>
      <x:c r="X124" s="14" t="str"/>
      <x:c r="Y124" s="14" t="str"/>
      <x:c r="Z124" s="14" t="str"/>
    </x:row>
    <x:row r="125" ht="84" customHeight="1">
      <x:c r="A125" s="14" t="str">
        <x:v>IMP-AND-0101</x:v>
      </x:c>
      <x:c r="B125" s="14" t="str">
        <x:v>S1 Android Stay &amp; Services</x:v>
      </x:c>
      <x:c r="C125" s="14" t="str">
        <x:v>ANDROID</x:v>
      </x:c>
      <x:c r="D125" s="14" t="str">
        <x:v>Estancia</x:v>
      </x:c>
      <x:c r="E125" s="14" t="str">
        <x:v>ANDROID-1</x:v>
      </x:c>
      <x:c r="F125" s="14" t="str">
        <x:v>WEB-3</x:v>
      </x:c>
      <x:c r="G125" s="14" t="str">
        <x:v>stay</x:v>
      </x:c>
      <x:c r="H125" s="14" t="str">
        <x:v>FEATURE</x:v>
      </x:c>
      <x:c r="I125" s="14" t="str">
        <x:v>CRÍTICA</x:v>
      </x:c>
      <x:c r="J125" s="14" t="str">
        <x:v>PENDIENTE</x:v>
      </x:c>
      <x:c r="K125" s="14" t="str">
        <x:v>IMP-AND-0009</x:v>
      </x:c>
      <x:c r="L125" s="14" t="str">
        <x:v>Android 01 Estancia y servicios</x:v>
      </x:c>
      <x:c r="M125" s="14" t="str">
        <x:v>238:132</x:v>
      </x:c>
      <x:c r="N125" s="14" t="str">
        <x:v>Stay Home</x:v>
      </x:c>
      <x:c r="O125" s="14" t="str">
        <x:v>Crear Stay contracts</x:v>
      </x:c>
      <x:c r="P125" s="14" t="str">
        <x:v>ReservationStay/room/dates/status DTO-&gt;Domain; mock remote.</x:v>
      </x:c>
      <x:c r="Q125" s="14" t="str">
        <x:v>Reservation != Stay; mapper tests; UI-ready Domain.</x:v>
      </x:c>
      <x:c r="R125" s="14" t="str">
        <x:v>S0 Android complete.</x:v>
      </x:c>
      <x:c r="S125" s="14" t="str">
        <x:v>Unit mapper/service.</x:v>
      </x:c>
      <x:c r="T125" s="14" t="str">
        <x:v>unit</x:v>
      </x:c>
      <x:c r="U125" s="14" t="str">
        <x:v>stay layers</x:v>
      </x:c>
      <x:c r="V125" s="14" t="str">
        <x:v>feature/android-stay-contract</x:v>
      </x:c>
      <x:c r="W125" s="14" t="str"/>
      <x:c r="X125" s="14" t="str"/>
      <x:c r="Y125" s="14" t="str"/>
      <x:c r="Z125" s="14" t="str"/>
    </x:row>
    <x:row r="126" ht="84" customHeight="1">
      <x:c r="A126" s="14" t="str">
        <x:v>IMP-AND-0102</x:v>
      </x:c>
      <x:c r="B126" s="14" t="str">
        <x:v>S1 Android Stay &amp; Services</x:v>
      </x:c>
      <x:c r="C126" s="14" t="str">
        <x:v>ANDROID</x:v>
      </x:c>
      <x:c r="D126" s="14" t="str">
        <x:v>Estancia</x:v>
      </x:c>
      <x:c r="E126" s="14" t="str">
        <x:v>ANDROID-1</x:v>
      </x:c>
      <x:c r="F126" s="14" t="str">
        <x:v>WEB-3</x:v>
      </x:c>
      <x:c r="G126" s="14" t="str">
        <x:v>stay</x:v>
      </x:c>
      <x:c r="H126" s="14" t="str">
        <x:v>FEATURE</x:v>
      </x:c>
      <x:c r="I126" s="14" t="str">
        <x:v>CRÍTICA</x:v>
      </x:c>
      <x:c r="J126" s="14" t="str">
        <x:v>PENDIENTE</x:v>
      </x:c>
      <x:c r="K126" s="14" t="str">
        <x:v>IMP-AND-0101</x:v>
      </x:c>
      <x:c r="L126" s="14" t="str">
        <x:v>Android 01 Estancia y servicios</x:v>
      </x:c>
      <x:c r="M126" s="14" t="str">
        <x:v>238:132</x:v>
      </x:c>
      <x:c r="N126" s="14" t="str">
        <x:v>Stay Home</x:v>
      </x:c>
      <x:c r="O126" s="14" t="str">
        <x:v>Implementar pantalla Estancia</x:v>
      </x:c>
      <x:c r="P126" s="14" t="str">
        <x:v>Room/type/dates/status/actions; loading/error/offline; Figma.</x:v>
      </x:c>
      <x:c r="Q126" s="14" t="str">
        <x:v>No DTO UI; navigation a services; offline explicit.</x:v>
      </x:c>
      <x:c r="R126" s="14" t="str">
        <x:v>0101 COMPLETADA.</x:v>
      </x:c>
      <x:c r="S126" s="14" t="str">
        <x:v>UI + visual.</x:v>
      </x:c>
      <x:c r="T126" s="14" t="str">
        <x:v>unit/ui</x:v>
      </x:c>
      <x:c r="U126" s="14" t="str">
        <x:v>stay screen</x:v>
      </x:c>
      <x:c r="V126" s="14" t="str">
        <x:v>feature/android-stay-home</x:v>
      </x:c>
      <x:c r="W126" s="14" t="str"/>
      <x:c r="X126" s="14" t="str"/>
      <x:c r="Y126" s="14" t="str"/>
      <x:c r="Z126" s="14" t="str"/>
    </x:row>
    <x:row r="127" ht="84" customHeight="1">
      <x:c r="A127" s="14" t="str">
        <x:v>IMP-AND-0103</x:v>
      </x:c>
      <x:c r="B127" s="14" t="str">
        <x:v>S1 Android Stay &amp; Services</x:v>
      </x:c>
      <x:c r="C127" s="14" t="str">
        <x:v>ANDROID</x:v>
      </x:c>
      <x:c r="D127" s="14" t="str">
        <x:v>Servicios</x:v>
      </x:c>
      <x:c r="E127" s="14" t="str">
        <x:v>ANDROID-1</x:v>
      </x:c>
      <x:c r="F127" s="14" t="str">
        <x:v>WEB-3</x:v>
      </x:c>
      <x:c r="G127" s="14" t="str">
        <x:v>services</x:v>
      </x:c>
      <x:c r="H127" s="14" t="str">
        <x:v>FEATURE</x:v>
      </x:c>
      <x:c r="I127" s="14" t="str">
        <x:v>ALTA</x:v>
      </x:c>
      <x:c r="J127" s="14" t="str">
        <x:v>PENDIENTE</x:v>
      </x:c>
      <x:c r="K127" s="14" t="str">
        <x:v>IMP-AND-0102</x:v>
      </x:c>
      <x:c r="L127" s="14" t="str">
        <x:v>Android 01 Estancia y servicios</x:v>
      </x:c>
      <x:c r="M127" s="14" t="str">
        <x:v>238:132</x:v>
      </x:c>
      <x:c r="N127" s="14" t="str">
        <x:v>Services</x:v>
      </x:c>
      <x:c r="O127" s="14" t="str">
        <x:v>Implementar servicios y solicitud</x:v>
      </x:c>
      <x:c r="P127" s="14" t="str">
        <x:v>Catalog DTO-&gt;Domain; detail/request; submitting/success/error/offline.</x:v>
      </x:c>
      <x:c r="Q127" s="14" t="str">
        <x:v>Only services current stay/property; no false success/double submit.</x:v>
      </x:c>
      <x:c r="R127" s="14" t="str">
        <x:v>Service contract ready.</x:v>
      </x:c>
      <x:c r="S127" s="14" t="str">
        <x:v>Mapper + UI.</x:v>
      </x:c>
      <x:c r="T127" s="14" t="str">
        <x:v>unit/ui</x:v>
      </x:c>
      <x:c r="U127" s="14" t="str">
        <x:v>services module</x:v>
      </x:c>
      <x:c r="V127" s="14" t="str">
        <x:v>feature/android-services</x:v>
      </x:c>
      <x:c r="W127" s="14" t="str"/>
      <x:c r="X127" s="14" t="str"/>
      <x:c r="Y127" s="14" t="str"/>
      <x:c r="Z127" s="14" t="str"/>
    </x:row>
    <x:row r="128" ht="84" customHeight="1">
      <x:c r="A128" s="14" t="str">
        <x:v>IMP-AND-0104</x:v>
      </x:c>
      <x:c r="B128" s="14" t="str">
        <x:v>S1 Android Stay &amp; Services</x:v>
      </x:c>
      <x:c r="C128" s="14" t="str">
        <x:v>ANDROID</x:v>
      </x:c>
      <x:c r="D128" s="14" t="str">
        <x:v>Chat</x:v>
      </x:c>
      <x:c r="E128" s="14" t="str">
        <x:v>ANDROID-1</x:v>
      </x:c>
      <x:c r="F128" s="14" t="str">
        <x:v>WEB-3</x:v>
      </x:c>
      <x:c r="G128" s="14" t="str">
        <x:v>messaging</x:v>
      </x:c>
      <x:c r="H128" s="14" t="str">
        <x:v>FEATURE</x:v>
      </x:c>
      <x:c r="I128" s="14" t="str">
        <x:v>ALTA</x:v>
      </x:c>
      <x:c r="J128" s="14" t="str">
        <x:v>PENDIENTE</x:v>
      </x:c>
      <x:c r="K128" s="14" t="str">
        <x:v>IMP-AND-0102</x:v>
      </x:c>
      <x:c r="L128" s="14" t="str">
        <x:v>Android 01 Estancia y servicios</x:v>
      </x:c>
      <x:c r="M128" s="14" t="str">
        <x:v>238:132</x:v>
      </x:c>
      <x:c r="N128" s="14" t="str">
        <x:v>Chat</x:v>
      </x:c>
      <x:c r="O128" s="14" t="str">
        <x:v>Implementar chat con Recepción</x:v>
      </x:c>
      <x:c r="P128" s="14" t="str">
        <x:v>Thread/messages; send to Reception only; offline/error.</x:v>
      </x:c>
      <x:c r="Q128" s="14" t="str">
        <x:v>No direct HK/Maintenance recipient; no PII logs.</x:v>
      </x:c>
      <x:c r="R128" s="14" t="str">
        <x:v>Messaging contract reviewed.</x:v>
      </x:c>
      <x:c r="S128" s="14" t="str">
        <x:v>Mapper + UI send/offline.</x:v>
      </x:c>
      <x:c r="T128" s="14" t="str">
        <x:v>unit/ui</x:v>
      </x:c>
      <x:c r="U128" s="14" t="str">
        <x:v>messaging</x:v>
      </x:c>
      <x:c r="V128" s="14" t="str">
        <x:v>feature/android-chat</x:v>
      </x:c>
      <x:c r="W128" s="14" t="str"/>
      <x:c r="X128" s="14" t="str"/>
      <x:c r="Y128" s="14" t="str"/>
      <x:c r="Z128" s="14" t="str"/>
    </x:row>
    <x:row r="129" ht="84" customHeight="1">
      <x:c r="A129" s="14" t="str">
        <x:v>IMP-AND-0105</x:v>
      </x:c>
      <x:c r="B129" s="14" t="str">
        <x:v>S1 Android Stay &amp; Services</x:v>
      </x:c>
      <x:c r="C129" s="14" t="str">
        <x:v>ANDROID</x:v>
      </x:c>
      <x:c r="D129" s="14" t="str">
        <x:v>Valet</x:v>
      </x:c>
      <x:c r="E129" s="14" t="str">
        <x:v>ANDROID-1</x:v>
      </x:c>
      <x:c r="F129" s="14" t="str">
        <x:v>WEB-3</x:v>
      </x:c>
      <x:c r="G129" s="14" t="str">
        <x:v>valet</x:v>
      </x:c>
      <x:c r="H129" s="14" t="str">
        <x:v>FEATURE</x:v>
      </x:c>
      <x:c r="I129" s="14" t="str">
        <x:v>MEDIA</x:v>
      </x:c>
      <x:c r="J129" s="14" t="str">
        <x:v>PENDIENTE</x:v>
      </x:c>
      <x:c r="K129" s="14" t="str">
        <x:v>IMP-AND-0102</x:v>
      </x:c>
      <x:c r="L129" s="14" t="str">
        <x:v>Android 01 Estancia y servicios</x:v>
      </x:c>
      <x:c r="M129" s="14" t="str">
        <x:v>238:132</x:v>
      </x:c>
      <x:c r="N129" s="14" t="str">
        <x:v>Valet</x:v>
      </x:c>
      <x:c r="O129" s="14" t="str">
        <x:v>Implementar Valet/Parking</x:v>
      </x:c>
      <x:c r="P129" s="14" t="str">
        <x:v>Status/request/pickup según Figma; remote mock; offline/error.</x:v>
      </x:c>
      <x:c r="Q129" s="14" t="str">
        <x:v>No financial assumptions fuera Figma; linked to stay/property.</x:v>
      </x:c>
      <x:c r="R129" s="14" t="str">
        <x:v>Valet contract confirmed.</x:v>
      </x:c>
      <x:c r="S129" s="14" t="str">
        <x:v>UI tests.</x:v>
      </x:c>
      <x:c r="T129" s="14" t="str">
        <x:v>unit/ui</x:v>
      </x:c>
      <x:c r="U129" s="14" t="str">
        <x:v>valet</x:v>
      </x:c>
      <x:c r="V129" s="14" t="str">
        <x:v>feature/android-valet</x:v>
      </x:c>
      <x:c r="W129" s="14" t="str"/>
      <x:c r="X129" s="14" t="str"/>
      <x:c r="Y129" s="14" t="str"/>
      <x:c r="Z129" s="14" t="str"/>
    </x:row>
    <x:row r="130" ht="84" customHeight="1">
      <x:c r="A130" s="14" t="str">
        <x:v>IMP-AND-0106</x:v>
      </x:c>
      <x:c r="B130" s="14" t="str">
        <x:v>S1 Android Stay &amp; Services</x:v>
      </x:c>
      <x:c r="C130" s="14" t="str">
        <x:v>ANDROID</x:v>
      </x:c>
      <x:c r="D130" s="14" t="str">
        <x:v>QA</x:v>
      </x:c>
      <x:c r="E130" s="14" t="str">
        <x:v>ANDROID-1</x:v>
      </x:c>
      <x:c r="F130" s="14" t="str">
        <x:v>WEB-3</x:v>
      </x:c>
      <x:c r="G130" s="14" t="str">
        <x:v>stay-services</x:v>
      </x:c>
      <x:c r="H130" s="14" t="str">
        <x:v>QA</x:v>
      </x:c>
      <x:c r="I130" s="14" t="str">
        <x:v>CRÍTICA</x:v>
      </x:c>
      <x:c r="J130" s="14" t="str">
        <x:v>PENDIENTE</x:v>
      </x:c>
      <x:c r="K130" s="14" t="str">
        <x:v>IMP-AND-0102, IMP-AND-0103, IMP-AND-0104, IMP-AND-0105</x:v>
      </x:c>
      <x:c r="L130" s="14" t="str">
        <x:v>Android 01 Estancia y servicios</x:v>
      </x:c>
      <x:c r="M130" s="14" t="str">
        <x:v>238:132</x:v>
      </x:c>
      <x:c r="N130" s="14" t="str">
        <x:v>Stay/Services</x:v>
      </x:c>
      <x:c r="O130" s="14" t="str">
        <x:v>QA Estancia/Servicios</x:v>
      </x:c>
      <x:c r="P130" s="14" t="str">
        <x:v>Stay/services/chat/valet/loading/error/offline/navigation.</x:v>
      </x:c>
      <x:c r="Q130" s="14" t="str">
        <x:v>All flows PASS; Reception boundary; Figma parity.</x:v>
      </x:c>
      <x:c r="R130" s="14" t="str">
        <x:v>S1 tasks done.</x:v>
      </x:c>
      <x:c r="S130" s="14" t="str">
        <x:v>Android Global DoD.</x:v>
      </x:c>
      <x:c r="T130" s="14" t="str">
        <x:v>build/tests/manual</x:v>
      </x:c>
      <x:c r="U130" s="14" t="str">
        <x:v>Android S1</x:v>
      </x:c>
      <x:c r="V130" s="14" t="str">
        <x:v>test/android-stay-services</x:v>
      </x:c>
      <x:c r="W130" s="14" t="str"/>
      <x:c r="X130" s="14" t="str"/>
      <x:c r="Y130" s="14" t="str"/>
      <x:c r="Z130" s="14" t="str"/>
    </x:row>
    <x:row r="131" ht="84" customHeight="1">
      <x:c r="A131" s="14" t="str">
        <x:v>IMP-AND-0201</x:v>
      </x:c>
      <x:c r="B131" s="14" t="str">
        <x:v>S2 Android Account</x:v>
      </x:c>
      <x:c r="C131" s="14" t="str">
        <x:v>ANDROID</x:v>
      </x:c>
      <x:c r="D131" s="14" t="str">
        <x:v>Cuenta</x:v>
      </x:c>
      <x:c r="E131" s="14" t="str">
        <x:v>ANDROID-1</x:v>
      </x:c>
      <x:c r="F131" s="14" t="str">
        <x:v>WEB-2</x:v>
      </x:c>
      <x:c r="G131" s="14" t="str">
        <x:v>account</x:v>
      </x:c>
      <x:c r="H131" s="14" t="str">
        <x:v>FEATURE</x:v>
      </x:c>
      <x:c r="I131" s="14" t="str">
        <x:v>CRÍTICA</x:v>
      </x:c>
      <x:c r="J131" s="14" t="str">
        <x:v>PENDIENTE</x:v>
      </x:c>
      <x:c r="K131" s="14" t="str">
        <x:v>IMP-AND-0009</x:v>
      </x:c>
      <x:c r="L131" s="14" t="str">
        <x:v>Android 02 Cuenta, checkout y factura</x:v>
      </x:c>
      <x:c r="M131" s="14" t="str">
        <x:v>238:132</x:v>
      </x:c>
      <x:c r="N131" s="14" t="str">
        <x:v>Account</x:v>
      </x:c>
      <x:c r="O131" s="14" t="str">
        <x:v>Crear Account/Profile contracts</x:v>
      </x:c>
      <x:c r="P131" s="14" t="str">
        <x:v>GuestAccount/Profile separados; remote-&gt;DTO-&gt;Mapper-&gt;Domain.</x:v>
      </x:c>
      <x:c r="Q131" s="14" t="str">
        <x:v>No Staff auth; no provider JSON UI; mapper tests.</x:v>
      </x:c>
      <x:c r="R131" s="14" t="str">
        <x:v>S0 complete.</x:v>
      </x:c>
      <x:c r="S131" s="14" t="str">
        <x:v>Unit.</x:v>
      </x:c>
      <x:c r="T131" s="14" t="str">
        <x:v>unit</x:v>
      </x:c>
      <x:c r="U131" s="14" t="str">
        <x:v>account layers</x:v>
      </x:c>
      <x:c r="V131" s="14" t="str">
        <x:v>feature/android-account-contract</x:v>
      </x:c>
      <x:c r="W131" s="14" t="str"/>
      <x:c r="X131" s="14" t="str"/>
      <x:c r="Y131" s="14" t="str"/>
      <x:c r="Z131" s="14" t="str"/>
    </x:row>
    <x:row r="132" ht="84" customHeight="1">
      <x:c r="A132" s="14" t="str">
        <x:v>IMP-AND-0202</x:v>
      </x:c>
      <x:c r="B132" s="14" t="str">
        <x:v>S2 Android Account</x:v>
      </x:c>
      <x:c r="C132" s="14" t="str">
        <x:v>ANDROID</x:v>
      </x:c>
      <x:c r="D132" s="14" t="str">
        <x:v>Cuenta</x:v>
      </x:c>
      <x:c r="E132" s="14" t="str">
        <x:v>ANDROID-1</x:v>
      </x:c>
      <x:c r="F132" s="14" t="str">
        <x:v>WEB-2</x:v>
      </x:c>
      <x:c r="G132" s="14" t="str">
        <x:v>account</x:v>
      </x:c>
      <x:c r="H132" s="14" t="str">
        <x:v>FEATURE</x:v>
      </x:c>
      <x:c r="I132" s="14" t="str">
        <x:v>ALTA</x:v>
      </x:c>
      <x:c r="J132" s="14" t="str">
        <x:v>PENDIENTE</x:v>
      </x:c>
      <x:c r="K132" s="14" t="str">
        <x:v>IMP-AND-0201</x:v>
      </x:c>
      <x:c r="L132" s="14" t="str">
        <x:v>Android 02 Cuenta, checkout y factura</x:v>
      </x:c>
      <x:c r="M132" s="14" t="str">
        <x:v>238:132</x:v>
      </x:c>
      <x:c r="N132" s="14" t="str">
        <x:v>Account/Profile</x:v>
      </x:c>
      <x:c r="O132" s="14" t="str">
        <x:v>Implementar cuenta/perfil</x:v>
      </x:c>
      <x:c r="P132" s="14" t="str">
        <x:v>Display/edit Profile; loading/error/offline; submit.</x:v>
      </x:c>
      <x:c r="Q132" s="14" t="str">
        <x:v>Account/Profile separation; no secrets; save states correct.</x:v>
      </x:c>
      <x:c r="R132" s="14" t="str">
        <x:v>0201 complete.</x:v>
      </x:c>
      <x:c r="S132" s="14" t="str">
        <x:v>UI tests.</x:v>
      </x:c>
      <x:c r="T132" s="14" t="str">
        <x:v>unit/ui</x:v>
      </x:c>
      <x:c r="U132" s="14" t="str">
        <x:v>account/profile screens</x:v>
      </x:c>
      <x:c r="V132" s="14" t="str">
        <x:v>feature/android-account-profile</x:v>
      </x:c>
      <x:c r="W132" s="14" t="str"/>
      <x:c r="X132" s="14" t="str"/>
      <x:c r="Y132" s="14" t="str"/>
      <x:c r="Z132" s="14" t="str"/>
    </x:row>
    <x:row r="133" ht="84" customHeight="1">
      <x:c r="A133" s="14" t="str">
        <x:v>IMP-AND-0203</x:v>
      </x:c>
      <x:c r="B133" s="14" t="str">
        <x:v>S2 Android Account</x:v>
      </x:c>
      <x:c r="C133" s="14" t="str">
        <x:v>ANDROID</x:v>
      </x:c>
      <x:c r="D133" s="14" t="str">
        <x:v>Checkout/Factura</x:v>
      </x:c>
      <x:c r="E133" s="14" t="str">
        <x:v>ANDROID-1</x:v>
      </x:c>
      <x:c r="F133" s="14" t="str">
        <x:v>WEB-4</x:v>
      </x:c>
      <x:c r="G133" s="14" t="str">
        <x:v>checkout</x:v>
      </x:c>
      <x:c r="H133" s="14" t="str">
        <x:v>FEATURE</x:v>
      </x:c>
      <x:c r="I133" s="14" t="str">
        <x:v>CRÍTICA</x:v>
      </x:c>
      <x:c r="J133" s="14" t="str">
        <x:v>PENDIENTE</x:v>
      </x:c>
      <x:c r="K133" s="14" t="str">
        <x:v>IMP-AND-0102</x:v>
      </x:c>
      <x:c r="L133" s="14" t="str">
        <x:v>Android 02 Cuenta, checkout y factura</x:v>
      </x:c>
      <x:c r="M133" s="14" t="str">
        <x:v>238:132</x:v>
      </x:c>
      <x:c r="N133" s="14" t="str">
        <x:v>Checkout/Invoice</x:v>
      </x:c>
      <x:c r="O133" s="14" t="str">
        <x:v>Implementar checkout e invoice</x:v>
      </x:c>
      <x:c r="P133" s="14" t="str">
        <x:v>Charges/balance/status Folio read model; invoice ref/status/date/total; offline/error.</x:v>
      </x:c>
      <x:c r="Q133" s="14" t="str">
        <x:v>Finance no recalculated in UI; no sensitive file persisted; no provider raw data.</x:v>
      </x:c>
      <x:c r="R133" s="14" t="str">
        <x:v>Folio/Fiscal mobile contract reviewed.</x:v>
      </x:c>
      <x:c r="S133" s="14" t="str">
        <x:v>Mapper + UI/security.</x:v>
      </x:c>
      <x:c r="T133" s="14" t="str">
        <x:v>unit/ui</x:v>
      </x:c>
      <x:c r="U133" s="14" t="str">
        <x:v>checkout/invoice</x:v>
      </x:c>
      <x:c r="V133" s="14" t="str">
        <x:v>feature/android-checkout-invoice</x:v>
      </x:c>
      <x:c r="W133" s="14" t="str"/>
      <x:c r="X133" s="14" t="str"/>
      <x:c r="Y133" s="14" t="str"/>
      <x:c r="Z133" s="14" t="str"/>
    </x:row>
    <x:row r="134" ht="84" customHeight="1">
      <x:c r="A134" s="14" t="str">
        <x:v>IMP-AND-0204</x:v>
      </x:c>
      <x:c r="B134" s="14" t="str">
        <x:v>S2 Android Account</x:v>
      </x:c>
      <x:c r="C134" s="14" t="str">
        <x:v>ANDROID</x:v>
      </x:c>
      <x:c r="D134" s="14" t="str">
        <x:v>QA</x:v>
      </x:c>
      <x:c r="E134" s="14" t="str">
        <x:v>ANDROID-1</x:v>
      </x:c>
      <x:c r="F134" s="14" t="str">
        <x:v>WEB-2</x:v>
      </x:c>
      <x:c r="G134" s="14" t="str">
        <x:v>account-checkout</x:v>
      </x:c>
      <x:c r="H134" s="14" t="str">
        <x:v>QA</x:v>
      </x:c>
      <x:c r="I134" s="14" t="str">
        <x:v>CRÍTICA</x:v>
      </x:c>
      <x:c r="J134" s="14" t="str">
        <x:v>PENDIENTE</x:v>
      </x:c>
      <x:c r="K134" s="14" t="str">
        <x:v>IMP-AND-0202, IMP-AND-0203</x:v>
      </x:c>
      <x:c r="L134" s="14" t="str">
        <x:v>Android 02 Cuenta, checkout y factura</x:v>
      </x:c>
      <x:c r="M134" s="14" t="str">
        <x:v>238:132</x:v>
      </x:c>
      <x:c r="N134" s="14" t="str">
        <x:v>Account/Checkout</x:v>
      </x:c>
      <x:c r="O134" s="14" t="str">
        <x:v>QA Cuenta/Checkout/Factura</x:v>
      </x:c>
      <x:c r="P134" s="14" t="str">
        <x:v>Profile/checkout/invoice/states/navigation/contracts.</x:v>
      </x:c>
      <x:c r="Q134" s="14" t="str">
        <x:v>Guest/Staff separation; finance coherent; Figma parity.</x:v>
      </x:c>
      <x:c r="R134" s="14" t="str">
        <x:v>S2 done.</x:v>
      </x:c>
      <x:c r="S134" s="14" t="str">
        <x:v>Android Global DoD.</x:v>
      </x:c>
      <x:c r="T134" s="14" t="str">
        <x:v>build/tests/manual</x:v>
      </x:c>
      <x:c r="U134" s="14" t="str">
        <x:v>Android S2</x:v>
      </x:c>
      <x:c r="V134" s="14" t="str">
        <x:v>test/android-account-checkout</x:v>
      </x:c>
      <x:c r="W134" s="14" t="str"/>
      <x:c r="X134" s="14" t="str"/>
      <x:c r="Y134" s="14" t="str"/>
      <x:c r="Z134" s="14" t="str"/>
    </x:row>
    <x:row r="135" ht="84" customHeight="1">
      <x:c r="A135" s="14" t="str">
        <x:v>IMP-AND-0301</x:v>
      </x:c>
      <x:c r="B135" s="14" t="str">
        <x:v>S3 Android Loyalty</x:v>
      </x:c>
      <x:c r="C135" s="14" t="str">
        <x:v>ANDROID</x:v>
      </x:c>
      <x:c r="D135" s="14" t="str">
        <x:v>Loyalty</x:v>
      </x:c>
      <x:c r="E135" s="14" t="str">
        <x:v>ANDROID-1</x:v>
      </x:c>
      <x:c r="F135" s="14" t="str">
        <x:v>WEB-2</x:v>
      </x:c>
      <x:c r="G135" s="14" t="str">
        <x:v>rewards</x:v>
      </x:c>
      <x:c r="H135" s="14" t="str">
        <x:v>FEATURE</x:v>
      </x:c>
      <x:c r="I135" s="14" t="str">
        <x:v>ALTA</x:v>
      </x:c>
      <x:c r="J135" s="14" t="str">
        <x:v>PENDIENTE</x:v>
      </x:c>
      <x:c r="K135" s="14" t="str">
        <x:v>IMP-AND-0009</x:v>
      </x:c>
      <x:c r="L135" s="14" t="str">
        <x:v>Android 03 Loyalty, promociones y perfil</x:v>
      </x:c>
      <x:c r="M135" s="14" t="str">
        <x:v>238:132</x:v>
      </x:c>
      <x:c r="N135" s="14" t="str">
        <x:v>Rewards</x:v>
      </x:c>
      <x:c r="O135" s="14" t="str">
        <x:v>Implementar Rewards</x:v>
      </x:c>
      <x:c r="P135" s="14" t="str">
        <x:v>Ledger/balance Domain cross-app; offline/error/empty.</x:v>
      </x:c>
      <x:c r="Q135" s="14" t="str">
        <x:v>CANCELLED/NO_SHOW no elegibles; ledger read-only.</x:v>
      </x:c>
      <x:c r="R135" s="14" t="str">
        <x:v>Reward contract reviewed.</x:v>
      </x:c>
      <x:c r="S135" s="14" t="str">
        <x:v>Mapper + UI.</x:v>
      </x:c>
      <x:c r="T135" s="14" t="str">
        <x:v>unit/ui</x:v>
      </x:c>
      <x:c r="U135" s="14" t="str">
        <x:v>rewards</x:v>
      </x:c>
      <x:c r="V135" s="14" t="str">
        <x:v>feature/android-rewards</x:v>
      </x:c>
      <x:c r="W135" s="14" t="str"/>
      <x:c r="X135" s="14" t="str"/>
      <x:c r="Y135" s="14" t="str"/>
      <x:c r="Z135" s="14" t="str"/>
    </x:row>
    <x:row r="136" ht="84" customHeight="1">
      <x:c r="A136" s="14" t="str">
        <x:v>IMP-AND-0302</x:v>
      </x:c>
      <x:c r="B136" s="14" t="str">
        <x:v>S3 Android Loyalty</x:v>
      </x:c>
      <x:c r="C136" s="14" t="str">
        <x:v>ANDROID</x:v>
      </x:c>
      <x:c r="D136" s="14" t="str">
        <x:v>Promociones</x:v>
      </x:c>
      <x:c r="E136" s="14" t="str">
        <x:v>ANDROID-1</x:v>
      </x:c>
      <x:c r="F136" s="14" t="str">
        <x:v>WEB-2</x:v>
      </x:c>
      <x:c r="G136" s="14" t="str">
        <x:v>promotions</x:v>
      </x:c>
      <x:c r="H136" s="14" t="str">
        <x:v>FEATURE</x:v>
      </x:c>
      <x:c r="I136" s="14" t="str">
        <x:v>ALTA</x:v>
      </x:c>
      <x:c r="J136" s="14" t="str">
        <x:v>PENDIENTE</x:v>
      </x:c>
      <x:c r="K136" s="14" t="str">
        <x:v>IMP-AND-0009</x:v>
      </x:c>
      <x:c r="L136" s="14" t="str">
        <x:v>Android 03 Loyalty, promociones y perfil</x:v>
      </x:c>
      <x:c r="M136" s="14" t="str">
        <x:v>238:132</x:v>
      </x:c>
      <x:c r="N136" s="14" t="str">
        <x:v>Promotions</x:v>
      </x:c>
      <x:c r="O136" s="14" t="str">
        <x:v>Implementar Promotions</x:v>
      </x:c>
      <x:c r="P136" s="14" t="str">
        <x:v>Eligibility/vigencia/stacking reason; states.</x:v>
      </x:c>
      <x:c r="Q136" s="14" t="str">
        <x:v>Incompatible no combinable; reasons correct.</x:v>
      </x:c>
      <x:c r="R136" s="14" t="str">
        <x:v>Promotion contract reviewed.</x:v>
      </x:c>
      <x:c r="S136" s="14" t="str">
        <x:v>Mapper + UI.</x:v>
      </x:c>
      <x:c r="T136" s="14" t="str">
        <x:v>unit/ui</x:v>
      </x:c>
      <x:c r="U136" s="14" t="str">
        <x:v>promotions</x:v>
      </x:c>
      <x:c r="V136" s="14" t="str">
        <x:v>feature/android-promotions</x:v>
      </x:c>
      <x:c r="W136" s="14" t="str"/>
      <x:c r="X136" s="14" t="str"/>
      <x:c r="Y136" s="14" t="str"/>
      <x:c r="Z136" s="14" t="str"/>
    </x:row>
    <x:row r="137" ht="84" customHeight="1">
      <x:c r="A137" s="14" t="str">
        <x:v>IMP-AND-0303</x:v>
      </x:c>
      <x:c r="B137" s="14" t="str">
        <x:v>S3 Android Loyalty</x:v>
      </x:c>
      <x:c r="C137" s="14" t="str">
        <x:v>ANDROID</x:v>
      </x:c>
      <x:c r="D137" s="14" t="str">
        <x:v>Perfil</x:v>
      </x:c>
      <x:c r="E137" s="14" t="str">
        <x:v>ANDROID-1</x:v>
      </x:c>
      <x:c r="F137" s="14" t="str">
        <x:v>WEB-2</x:v>
      </x:c>
      <x:c r="G137" s="14" t="str">
        <x:v>profile</x:v>
      </x:c>
      <x:c r="H137" s="14" t="str">
        <x:v>FEATURE</x:v>
      </x:c>
      <x:c r="I137" s="14" t="str">
        <x:v>ALTA</x:v>
      </x:c>
      <x:c r="J137" s="14" t="str">
        <x:v>PENDIENTE</x:v>
      </x:c>
      <x:c r="K137" s="14" t="str">
        <x:v>IMP-AND-0201</x:v>
      </x:c>
      <x:c r="L137" s="14" t="str">
        <x:v>Android 03 Loyalty, promociones y perfil</x:v>
      </x:c>
      <x:c r="M137" s="14" t="str">
        <x:v>238:132</x:v>
      </x:c>
      <x:c r="N137" s="14" t="str">
        <x:v>Profile</x:v>
      </x:c>
      <x:c r="O137" s="14" t="str">
        <x:v>Implementar perfil final</x:v>
      </x:c>
      <x:c r="P137" s="14" t="str">
        <x:v>Figma layout/edit/states; reuse Account/Profile Domain.</x:v>
      </x:c>
      <x:c r="Q137" s="14" t="str">
        <x:v>No duplicated model; PII safe; save states correct.</x:v>
      </x:c>
      <x:c r="R137" s="14" t="str">
        <x:v>Profile contract ready.</x:v>
      </x:c>
      <x:c r="S137" s="14" t="str">
        <x:v>UI tests.</x:v>
      </x:c>
      <x:c r="T137" s="14" t="str">
        <x:v>unit/ui</x:v>
      </x:c>
      <x:c r="U137" s="14" t="str">
        <x:v>profile</x:v>
      </x:c>
      <x:c r="V137" s="14" t="str">
        <x:v>feature/android-profile</x:v>
      </x:c>
      <x:c r="W137" s="14" t="str"/>
      <x:c r="X137" s="14" t="str"/>
      <x:c r="Y137" s="14" t="str"/>
      <x:c r="Z137" s="14" t="str"/>
    </x:row>
    <x:row r="138" ht="84" customHeight="1">
      <x:c r="A138" s="14" t="str">
        <x:v>IMP-AND-0304</x:v>
      </x:c>
      <x:c r="B138" s="14" t="str">
        <x:v>S3 Android Loyalty</x:v>
      </x:c>
      <x:c r="C138" s="14" t="str">
        <x:v>ANDROID</x:v>
      </x:c>
      <x:c r="D138" s="14" t="str">
        <x:v>QA</x:v>
      </x:c>
      <x:c r="E138" s="14" t="str">
        <x:v>ANDROID-1</x:v>
      </x:c>
      <x:c r="F138" s="14" t="str">
        <x:v>WEB-2</x:v>
      </x:c>
      <x:c r="G138" s="14" t="str">
        <x:v>loyalty-profile</x:v>
      </x:c>
      <x:c r="H138" s="14" t="str">
        <x:v>QA</x:v>
      </x:c>
      <x:c r="I138" s="14" t="str">
        <x:v>CRÍTICA</x:v>
      </x:c>
      <x:c r="J138" s="14" t="str">
        <x:v>PENDIENTE</x:v>
      </x:c>
      <x:c r="K138" s="14" t="str">
        <x:v>IMP-AND-0301, IMP-AND-0302, IMP-AND-0303</x:v>
      </x:c>
      <x:c r="L138" s="14" t="str">
        <x:v>Android 03 Loyalty, promociones y perfil</x:v>
      </x:c>
      <x:c r="M138" s="14" t="str">
        <x:v>238:132</x:v>
      </x:c>
      <x:c r="N138" s="14" t="str">
        <x:v>Rewards/Promos/Profile</x:v>
      </x:c>
      <x:c r="O138" s="14" t="str">
        <x:v>QA Loyalty/Profile</x:v>
      </x:c>
      <x:c r="P138" s="14" t="str">
        <x:v>Rewards/promotions/profile/offline/error/empty/navigation.</x:v>
      </x:c>
      <x:c r="Q138" s="14" t="str">
        <x:v>Cross-app semantics PASS; Figma parity; no DTO UI.</x:v>
      </x:c>
      <x:c r="R138" s="14" t="str">
        <x:v>S3 done.</x:v>
      </x:c>
      <x:c r="S138" s="14" t="str">
        <x:v>Android Global DoD.</x:v>
      </x:c>
      <x:c r="T138" s="14" t="str">
        <x:v>build/tests/manual</x:v>
      </x:c>
      <x:c r="U138" s="14" t="str">
        <x:v>Android S3</x:v>
      </x:c>
      <x:c r="V138" s="14" t="str">
        <x:v>test/android-loyalty</x:v>
      </x:c>
      <x:c r="W138" s="14" t="str"/>
      <x:c r="X138" s="14" t="str"/>
      <x:c r="Y138" s="14" t="str"/>
      <x:c r="Z138" s="14" t="str"/>
    </x:row>
    <x:row r="139" ht="84" customHeight="1">
      <x:c r="A139" s="14" t="str">
        <x:v>IMP-AND-0401</x:v>
      </x:c>
      <x:c r="B139" s="14" t="str">
        <x:v>S4 Android Release</x:v>
      </x:c>
      <x:c r="C139" s="14" t="str">
        <x:v>ANDROID</x:v>
      </x:c>
      <x:c r="D139" s="14" t="str">
        <x:v>Estados</x:v>
      </x:c>
      <x:c r="E139" s="14" t="str">
        <x:v>ANDROID-1</x:v>
      </x:c>
      <x:c r="F139" s="14" t="str">
        <x:v>WEB-2</x:v>
      </x:c>
      <x:c r="G139" s="14" t="str">
        <x:v>ui-states</x:v>
      </x:c>
      <x:c r="H139" s="14" t="str">
        <x:v>SHARED</x:v>
      </x:c>
      <x:c r="I139" s="14" t="str">
        <x:v>CRÍTICA</x:v>
      </x:c>
      <x:c r="J139" s="14" t="str">
        <x:v>PENDIENTE</x:v>
      </x:c>
      <x:c r="K139" s="14" t="str">
        <x:v>IMP-AND-0009</x:v>
      </x:c>
      <x:c r="L139" s="14" t="str">
        <x:v>Android 04 Loading, error y offline</x:v>
      </x:c>
      <x:c r="M139" s="14" t="str">
        <x:v>238:132</x:v>
      </x:c>
      <x:c r="N139" s="14" t="str">
        <x:v>Universal States</x:v>
      </x:c>
      <x:c r="O139" s="14" t="str">
        <x:v>Implementar Loading/Error/Empty/Offline shared</x:v>
      </x:c>
      <x:c r="P139" s="14" t="str">
        <x:v>Reusable state UI; retry callback; accessible; no business logic.</x:v>
      </x:c>
      <x:c r="Q139" s="14" t="str">
        <x:v>Features reutilizan states; offline explicit; retry actionable.</x:v>
      </x:c>
      <x:c r="R139" s="14" t="str">
        <x:v>Figma states reviewed.</x:v>
      </x:c>
      <x:c r="S139" s="14" t="str">
        <x:v>UI tests.</x:v>
      </x:c>
      <x:c r="T139" s="14" t="str">
        <x:v>ui</x:v>
      </x:c>
      <x:c r="U139" s="14" t="str">
        <x:v>shared state UI</x:v>
      </x:c>
      <x:c r="V139" s="14" t="str">
        <x:v>feature/android-universal-states</x:v>
      </x:c>
      <x:c r="W139" s="14" t="str"/>
      <x:c r="X139" s="14" t="str"/>
      <x:c r="Y139" s="14" t="str"/>
      <x:c r="Z139" s="14" t="str"/>
    </x:row>
    <x:row r="140" ht="84" customHeight="1">
      <x:c r="A140" s="14" t="str">
        <x:v>IMP-AND-0402</x:v>
      </x:c>
      <x:c r="B140" s="14" t="str">
        <x:v>S4 Android Release</x:v>
      </x:c>
      <x:c r="C140" s="14" t="str">
        <x:v>ANDROID</x:v>
      </x:c>
      <x:c r="D140" s="14" t="str">
        <x:v>Estados</x:v>
      </x:c>
      <x:c r="E140" s="14" t="str">
        <x:v>ANDROID-1</x:v>
      </x:c>
      <x:c r="F140" s="14" t="str">
        <x:v>WEB-3</x:v>
      </x:c>
      <x:c r="G140" s="14" t="str">
        <x:v>offline</x:v>
      </x:c>
      <x:c r="H140" s="14" t="str">
        <x:v>FEATURE</x:v>
      </x:c>
      <x:c r="I140" s="14" t="str">
        <x:v>CRÍTICA</x:v>
      </x:c>
      <x:c r="J140" s="14" t="str">
        <x:v>PENDIENTE</x:v>
      </x:c>
      <x:c r="K140" s="14" t="str">
        <x:v>IMP-AND-0401, IMP-AND-0106, IMP-AND-0204, IMP-AND-0304</x:v>
      </x:c>
      <x:c r="L140" s="14" t="str">
        <x:v>Android 04 Loading, error y offline</x:v>
      </x:c>
      <x:c r="M140" s="14" t="str">
        <x:v>238:132</x:v>
      </x:c>
      <x:c r="N140" s="14" t="str">
        <x:v>All</x:v>
      </x:c>
      <x:c r="O140" s="14" t="str">
        <x:v>Integrar states universales</x:v>
      </x:c>
      <x:c r="P140" s="14" t="str">
        <x:v>Reemplazar estados ad-hoc; retry; stale indication donde aplica.</x:v>
      </x:c>
      <x:c r="Q140" s="14" t="str">
        <x:v>0 remote screen sin Loading/Error; Offline según Figma; no false success.</x:v>
      </x:c>
      <x:c r="R140" s="14" t="str">
        <x:v>Feature screens done.</x:v>
      </x:c>
      <x:c r="S140" s="14" t="str">
        <x:v>Regression states.</x:v>
      </x:c>
      <x:c r="T140" s="14" t="str">
        <x:v>ui/manual</x:v>
      </x:c>
      <x:c r="U140" s="14" t="str">
        <x:v>all Android</x:v>
      </x:c>
      <x:c r="V140" s="14" t="str">
        <x:v>feature/android-state-integration</x:v>
      </x:c>
      <x:c r="W140" s="14" t="str"/>
      <x:c r="X140" s="14" t="str"/>
      <x:c r="Y140" s="14" t="str"/>
      <x:c r="Z140" s="14" t="str"/>
    </x:row>
    <x:row r="141" ht="84" customHeight="1">
      <x:c r="A141" s="14" t="str">
        <x:v>IMP-AND-0403</x:v>
      </x:c>
      <x:c r="B141" s="14" t="str">
        <x:v>S4 Android Release</x:v>
      </x:c>
      <x:c r="C141" s="14" t="str">
        <x:v>ANDROID</x:v>
      </x:c>
      <x:c r="D141" s="14" t="str">
        <x:v>QA</x:v>
      </x:c>
      <x:c r="E141" s="14" t="str">
        <x:v>ANDROID-1</x:v>
      </x:c>
      <x:c r="F141" s="14" t="str">
        <x:v>WEB-2</x:v>
      </x:c>
      <x:c r="G141" s="14" t="str">
        <x:v>accessibility</x:v>
      </x:c>
      <x:c r="H141" s="14" t="str">
        <x:v>QA</x:v>
      </x:c>
      <x:c r="I141" s="14" t="str">
        <x:v>CRÍTICA</x:v>
      </x:c>
      <x:c r="J141" s="14" t="str">
        <x:v>PENDIENTE</x:v>
      </x:c>
      <x:c r="K141" s="14" t="str">
        <x:v>IMP-AND-0402</x:v>
      </x:c>
      <x:c r="L141" s="14" t="str">
        <x:v>Android final regression</x:v>
      </x:c>
      <x:c r="M141" s="14" t="str">
        <x:v>238:132</x:v>
      </x:c>
      <x:c r="N141" s="14" t="str">
        <x:v>All</x:v>
      </x:c>
      <x:c r="O141" s="14" t="str">
        <x:v>Auditoría accesibilidad Android</x:v>
      </x:c>
      <x:c r="P141" s="14" t="str">
        <x:v>TalkBack/labels/targets/contrast/focus/auth/errors.</x:v>
      </x:c>
      <x:c r="Q141" s="14" t="str">
        <x:v>0 critical/high accessibility defects; primary journeys operable.</x:v>
      </x:c>
      <x:c r="R141" s="14" t="str">
        <x:v>Features done.</x:v>
      </x:c>
      <x:c r="S141" s="14" t="str">
        <x:v>A11y PASS.</x:v>
      </x:c>
      <x:c r="T141" s="14" t="str">
        <x:v>manual/tooling</x:v>
      </x:c>
      <x:c r="U141" s="14" t="str">
        <x:v>whole Android</x:v>
      </x:c>
      <x:c r="V141" s="14" t="str">
        <x:v>test/android-a11y</x:v>
      </x:c>
      <x:c r="W141" s="14" t="str"/>
      <x:c r="X141" s="14" t="str"/>
      <x:c r="Y141" s="14" t="str"/>
      <x:c r="Z141" s="14" t="str"/>
    </x:row>
    <x:row r="142" ht="84" customHeight="1">
      <x:c r="A142" s="14" t="str">
        <x:v>IMP-AND-0404</x:v>
      </x:c>
      <x:c r="B142" s="14" t="str">
        <x:v>S4 Android Release</x:v>
      </x:c>
      <x:c r="C142" s="14" t="str">
        <x:v>ANDROID</x:v>
      </x:c>
      <x:c r="D142" s="14" t="str">
        <x:v>QA</x:v>
      </x:c>
      <x:c r="E142" s="14" t="str">
        <x:v>ANDROID-1</x:v>
      </x:c>
      <x:c r="F142" s="14" t="str">
        <x:v>WEB-3</x:v>
      </x:c>
      <x:c r="G142" s="14" t="str">
        <x:v>release</x:v>
      </x:c>
      <x:c r="H142" s="14" t="str">
        <x:v>QA</x:v>
      </x:c>
      <x:c r="I142" s="14" t="str">
        <x:v>CRÍTICA</x:v>
      </x:c>
      <x:c r="J142" s="14" t="str">
        <x:v>PENDIENTE</x:v>
      </x:c>
      <x:c r="K142" s="14" t="str">
        <x:v>IMP-AND-0403</x:v>
      </x:c>
      <x:c r="L142" s="14" t="str">
        <x:v>Android final regression</x:v>
      </x:c>
      <x:c r="M142" s="14" t="str">
        <x:v>238:132</x:v>
      </x:c>
      <x:c r="N142" s="14" t="str">
        <x:v>All</x:v>
      </x:c>
      <x:c r="O142" s="14" t="str">
        <x:v>Regresión final Android</x:v>
      </x:c>
      <x:c r="P142" s="14" t="str">
        <x:v>Build/tests/navigation/states/contracts/no DTO UI/no secrets.</x:v>
      </x:c>
      <x:c r="Q142" s="14" t="str">
        <x:v>0 critical/high; all checks PASS; release candidate.</x:v>
      </x:c>
      <x:c r="R142" s="14" t="str">
        <x:v>All Android tasks done.</x:v>
      </x:c>
      <x:c r="S142" s="14" t="str">
        <x:v>Release DoD PASS.</x:v>
      </x:c>
      <x:c r="T142" s="14" t="str">
        <x:v>build/tests/manual</x:v>
      </x:c>
      <x:c r="U142" s="14" t="str">
        <x:v>whole Android</x:v>
      </x:c>
      <x:c r="V142" s="14" t="str">
        <x:v>release/android-rc</x:v>
      </x:c>
      <x:c r="W142" s="14" t="str"/>
      <x:c r="X142" s="14" t="str"/>
      <x:c r="Y142" s="14" t="str"/>
      <x:c r="Z142" s="14" t="str"/>
    </x:row>
  </x:sheetData>
  <x:conditionalFormatting sqref="J2:J142">
    <x:cfRule type="expression" dxfId="0" priority="1">
      <x:formula>J2="READY"</x:formula>
    </x:cfRule>
    <x:cfRule type="expression" dxfId="1" priority="2">
      <x:formula>J2="EN_PROGRESO"</x:formula>
    </x:cfRule>
    <x:cfRule type="expression" dxfId="2" priority="3">
      <x:formula>J2="EN_QA"</x:formula>
    </x:cfRule>
    <x:cfRule type="expression" dxfId="3" priority="4">
      <x:formula>J2="BLOQUEADA"</x:formula>
    </x:cfRule>
    <x:cfRule type="expression" dxfId="4" priority="5">
      <x:formula>J2="COMPLETADA"</x:formula>
    </x:cfRule>
    <x:cfRule type="expression" dxfId="5" priority="6">
      <x:formula>J2="PENDIENTE"</x:formula>
    </x:cfRule>
  </x:conditionalFormatting>
  <x:conditionalFormatting sqref="I2:I142">
    <x:cfRule type="expression" dxfId="6" priority="7">
      <x:formula>I2="CRÍTICA"</x:formula>
    </x:cfRule>
    <x:cfRule type="expression" dxfId="7" priority="8">
      <x:formula>I2="ALTA"</x:formula>
    </x:cfRule>
  </x:conditionalFormatting>
  <x:dataValidations count="6">
    <x:dataValidation type="list" sqref="C2:C142">
      <x:formula1>"WEB,ANDROID"</x:formula1>
    </x:dataValidation>
    <x:dataValidation type="list" sqref="E2:E142">
      <x:formula1>"WEB-1,WEB-2,WEB-3,WEB-4,ANDROID-1"</x:formula1>
    </x:dataValidation>
    <x:dataValidation type="list" sqref="F2:F142">
      <x:formula1>"WEB-1,WEB-2,WEB-3,WEB-4,ANDROID-1"</x:formula1>
    </x:dataValidation>
    <x:dataValidation type="list" sqref="H2:H142">
      <x:formula1>"INFRA,FEATURE,SHARED,QA,E2E,DOC"</x:formula1>
    </x:dataValidation>
    <x:dataValidation type="list" sqref="I2:I142">
      <x:formula1>"CRÍTICA,ALTA,MEDIA,BAJA"</x:formula1>
    </x:dataValidation>
    <x:dataValidation type="list" sqref="J2:J142">
      <x:formula1>"PENDIENTE,READY,EN_PROGRESO,EN_QA,BLOQUEADA,COMPLETADA"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4618bc73524441b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2" hidden="0" customWidth="1"/>
    <x:col min="3" max="3" width="34" hidden="0" customWidth="1"/>
    <x:col min="4" max="4" width="45" hidden="0" customWidth="1"/>
    <x:col min="5" max="5" width="48" hidden="0" customWidth="1"/>
    <x:col min="6" max="6" width="22" hidden="0" customWidth="1"/>
    <x:col min="7" max="7" width="50" hidden="0" customWidth="1"/>
  </x:cols>
  <x:sheetData>
    <x:row r="1">
      <x:c r="A1" s="6" t="str">
        <x:v>Owner</x:v>
      </x:c>
      <x:c r="B1" s="6" t="str">
        <x:v>Aplicación</x:v>
      </x:c>
      <x:c r="C1" s="6" t="str">
        <x:v>Responsabilidad primaria</x:v>
      </x:c>
      <x:c r="D1" s="6" t="str">
        <x:v>Módulos principales</x:v>
      </x:c>
      <x:c r="E1" s="6" t="str">
        <x:v>Dependencias / coordinación</x:v>
      </x:c>
      <x:c r="F1" s="6" t="str">
        <x:v>Reviewer habitual</x:v>
      </x:c>
      <x:c r="G1" s="6" t="str">
        <x:v>Reglas especiales</x:v>
      </x:c>
    </x:row>
    <x:row r="2" ht="86" customHeight="1">
      <x:c r="A2" s="14" t="str">
        <x:v>WEB-1</x:v>
      </x:c>
      <x:c r="B2" s="14" t="str">
        <x:v>WEB</x:v>
      </x:c>
      <x:c r="C2" s="14" t="str">
        <x:v>Booking público / Multi-room / Checkout</x:v>
      </x:c>
      <x:c r="D2" s="14" t="str">
        <x:v>booking; checkout; rooms UI pública; shared usado por booking</x:v>
      </x:c>
      <x:c r="E2" s="14" t="str">
        <x:v>Consume Availability/Payments de WEB-4; Auth de WEB-2; Reservation creation de WEB-3</x:v>
      </x:c>
      <x:c r="F2" s="14" t="str">
        <x:v>WEB-2</x:v>
      </x:c>
      <x:c r="G2" s="14" t="str">
        <x:v>No modifica core Availability, Auth o Payments sin reviewer del owner correspondiente.</x:v>
      </x:c>
    </x:row>
    <x:row r="3" ht="86" customHeight="1">
      <x:c r="A3" s="14" t="str">
        <x:v>WEB-2</x:v>
      </x:c>
      <x:c r="B3" s="14" t="str">
        <x:v>WEB</x:v>
      </x:c>
      <x:c r="C3" s="14" t="str">
        <x:v>Identity / Account / Rewards / Security / Privacy / Multi-property</x:v>
      </x:c>
      <x:c r="D3" s="14" t="str">
        <x:v>auth; account; profile; rewards; promotions; privacy; permissions; security; properties</x:v>
      </x:c>
      <x:c r="E3" s="14" t="str">
        <x:v>Reservation history con WEB-3; revenue metrics multi-property con WEB-4</x:v>
      </x:c>
      <x:c r="F3" s="14" t="str">
        <x:v>WEB-3</x:v>
      </x:c>
      <x:c r="G3" s="14" t="str">
        <x:v>Guest/Staff separados; Property scope no cambia role; no ALL_PROPERTIES implícito.</x:v>
      </x:c>
    </x:row>
    <x:row r="4" ht="86" customHeight="1">
      <x:c r="A4" s="14" t="str">
        <x:v>WEB-3</x:v>
      </x:c>
      <x:c r="B4" s="14" t="str">
        <x:v>WEB</x:v>
      </x:c>
      <x:c r="C4" s="14" t="str">
        <x:v>Reservations / Operations / B2B / Groups / Integrations / Reporting UI</x:v>
      </x:c>
      <x:c r="D4" s="14" t="str">
        <x:v>reservations; stays; housekeeping; maintenance; companies; agencies; groups; integrations; reports; concierge</x:v>
      </x:c>
      <x:c r="E4" s="14" t="str">
        <x:v>Availability/Folio/Payments con WEB-4; permissions con WEB-2</x:v>
      </x:c>
      <x:c r="F4" s="14" t="str">
        <x:v>WEB-4</x:v>
      </x:c>
      <x:c r="G4" s="14" t="str">
        <x:v>No crea side effects financieros/inventario sin contrato del owner correspondiente.</x:v>
      </x:c>
    </x:row>
    <x:row r="5" ht="86" customHeight="1">
      <x:c r="A5" s="14" t="str">
        <x:v>WEB-4</x:v>
      </x:c>
      <x:c r="B5" s="14" t="str">
        <x:v>WEB</x:v>
      </x:c>
      <x:c r="C5" s="14" t="str">
        <x:v>Folio / Payments / Availability / Rates / Inventory / Revenue / Channels</x:v>
      </x:c>
      <x:c r="D5" s="14" t="str">
        <x:v>folio; payments; receivables; availability; rates; inventory; revenue; channels</x:v>
      </x:c>
      <x:c r="E5" s="14" t="str">
        <x:v>Public booking consume sus APIs; Reservations/Groups disparan impactos dependientes</x:v>
      </x:c>
      <x:c r="F5" s="14" t="str">
        <x:v>WEB-1</x:v>
      </x:c>
      <x:c r="G5" s="14" t="str">
        <x:v>No PAN/CVV; Physical Inventory != Availability; historial financiero append-only.</x:v>
      </x:c>
    </x:row>
    <x:row r="6" ht="86" customHeight="1">
      <x:c r="A6" s="14" t="str">
        <x:v>ANDROID-1</x:v>
      </x:c>
      <x:c r="B6" s="14" t="str">
        <x:v>ANDROID</x:v>
      </x:c>
      <x:c r="C6" s="14" t="str">
        <x:v>Aplicación Android completa</x:v>
      </x:c>
      <x:c r="D6" s="14" t="str">
        <x:v>stay; services; messaging; valet; account; checkout; invoice; rewards; promotions; profile; offline states</x:v>
      </x:c>
      <x:c r="E6" s="14" t="str">
        <x:v>Contratos cross-app con WEB-2/3/4 según dominio</x:v>
      </x:c>
      <x:c r="F6" s="14" t="str">
        <x:v>Reviewer Web del dominio afectado</x:v>
      </x:c>
      <x:c r="G6" s="14" t="str">
        <x:v>No inventa statuses/contracts incompatibles; UI no consume DTO crudo.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8" hidden="0" customWidth="1"/>
    <x:col min="3" max="3" width="72" hidden="0" customWidth="1"/>
    <x:col min="4" max="4" width="40" hidden="0" customWidth="1"/>
  </x:cols>
  <x:sheetData>
    <x:row r="1">
      <x:c r="A1" s="6" t="str">
        <x:v>Sección</x:v>
      </x:c>
      <x:c r="B1" s="6" t="str">
        <x:v>Elemento</x:v>
      </x:c>
      <x:c r="C1" s="6" t="str">
        <x:v>Regla obligatoria</x:v>
      </x:c>
      <x:c r="D1" s="6" t="str">
        <x:v>Evidencia mínima</x:v>
      </x:c>
    </x:row>
    <x:row r="2" ht="55" customHeight="1">
      <x:c r="A2" s="14" t="str">
        <x:v>Workflow</x:v>
      </x:c>
      <x:c r="B2" s="14" t="str">
        <x:v>PENDIENTE</x:v>
      </x:c>
      <x:c r="C2" s="14" t="str">
        <x:v>Tarea documentada pero no habilitada. No se programa.</x:v>
      </x:c>
      <x:c r="D2" s="14" t="str">
        <x:v>Backlog sin rama/PR.</x:v>
      </x:c>
    </x:row>
    <x:row r="3" ht="55" customHeight="1">
      <x:c r="A3" s="14" t="str">
        <x:v>Workflow</x:v>
      </x:c>
      <x:c r="B3" s="14" t="str">
        <x:v>READY</x:v>
      </x:c>
      <x:c r="C3" s="14" t="str">
        <x:v>Todas las dependencias están COMPLETADAS y cumple DoR. El owner puede tomarla.</x:v>
      </x:c>
      <x:c r="D3" s="14" t="str">
        <x:v>Dependencias verificadas + DoR PASS.</x:v>
      </x:c>
    </x:row>
    <x:row r="4" ht="55" customHeight="1">
      <x:c r="A4" s="14" t="str">
        <x:v>Workflow</x:v>
      </x:c>
      <x:c r="B4" s="14" t="str">
        <x:v>EN_PROGRESO</x:v>
      </x:c>
      <x:c r="C4" s="14" t="str">
        <x:v>Owner trabajando en rama dedicada. No compartir el mismo archivo con otro owner sin coordinación.</x:v>
      </x:c>
      <x:c r="D4" s="14" t="str">
        <x:v>Rama + fecha inicio.</x:v>
      </x:c>
    </x:row>
    <x:row r="5" ht="55" customHeight="1">
      <x:c r="A5" s="14" t="str">
        <x:v>Workflow</x:v>
      </x:c>
      <x:c r="B5" s="14" t="str">
        <x:v>EN_QA</x:v>
      </x:c>
      <x:c r="C5" s="14" t="str">
        <x:v>Implementación terminada por owner; reviewer ejecuta aceptación y DoD. Owner no puede autoaprobar una tarea cross-domain/shared.</x:v>
      </x:c>
      <x:c r="D5" s="14" t="str">
        <x:v>PR + checks + evidencia.</x:v>
      </x:c>
    </x:row>
    <x:row r="6" ht="55" customHeight="1">
      <x:c r="A6" s="14" t="str">
        <x:v>Workflow</x:v>
      </x:c>
      <x:c r="B6" s="14" t="str">
        <x:v>BLOQUEADA</x:v>
      </x:c>
      <x:c r="C6" s="14" t="str">
        <x:v>Existe dependencia, contrato, decisión o acceso faltante que impide continuar sin inventar.</x:v>
      </x:c>
      <x:c r="D6" s="14" t="str">
        <x:v>Observación con causa y owner del bloqueo.</x:v>
      </x:c>
    </x:row>
    <x:row r="7" ht="55" customHeight="1">
      <x:c r="A7" s="14" t="str">
        <x:v>Workflow</x:v>
      </x:c>
      <x:c r="B7" s="14" t="str">
        <x:v>COMPLETADA</x:v>
      </x:c>
      <x:c r="C7" s="14" t="str">
        <x:v>Criterios de aceptación + DoD específico + Global DoD PASS y reviewer aprueba.</x:v>
      </x:c>
      <x:c r="D7" s="14" t="str">
        <x:v>PR/commit + tests + capturas/logs aplicables.</x:v>
      </x:c>
    </x:row>
    <x:row r="8" ht="55" customHeight="1">
      <x:c r="A8" s="14" t="str">
        <x:v>Transición</x:v>
      </x:c>
      <x:c r="B8" s="14" t="str">
        <x:v>PENDIENTE → READY</x:v>
      </x:c>
      <x:c r="C8" s="14" t="str">
        <x:v>Solo si todas las dependencias están COMPLETADAS y DoR está completo.</x:v>
      </x:c>
      <x:c r="D8" s="14" t="str">
        <x:v>Revisión del owner/reviewer.</x:v>
      </x:c>
    </x:row>
    <x:row r="9" ht="55" customHeight="1">
      <x:c r="A9" s="14" t="str">
        <x:v>Transición</x:v>
      </x:c>
      <x:c r="B9" s="14" t="str">
        <x:v>READY → EN_PROGRESO</x:v>
      </x:c>
      <x:c r="C9" s="14" t="str">
        <x:v>Owner crea/usa rama sugerida y registra inicio.</x:v>
      </x:c>
      <x:c r="D9" s="14" t="str">
        <x:v>Rama + fecha.</x:v>
      </x:c>
    </x:row>
    <x:row r="10" ht="55" customHeight="1">
      <x:c r="A10" s="14" t="str">
        <x:v>Transición</x:v>
      </x:c>
      <x:c r="B10" s="14" t="str">
        <x:v>EN_PROGRESO → EN_QA</x:v>
      </x:c>
      <x:c r="C10" s="14" t="str">
        <x:v>Owner ejecutó pruebas propias y considera aceptación completa.</x:v>
      </x:c>
      <x:c r="D10" s="14" t="str">
        <x:v>PR abierto + checks locales.</x:v>
      </x:c>
    </x:row>
    <x:row r="11" ht="55" customHeight="1">
      <x:c r="A11" s="14" t="str">
        <x:v>Transición</x:v>
      </x:c>
      <x:c r="B11" s="14" t="str">
        <x:v>EN_QA → EN_PROGRESO</x:v>
      </x:c>
      <x:c r="C11" s="14" t="str">
        <x:v>Si falla cualquier aceptación o DoD, NO se completa; vuelve a desarrollo.</x:v>
      </x:c>
      <x:c r="D11" s="14" t="str">
        <x:v>Comentario reviewer con fallo reproducible.</x:v>
      </x:c>
    </x:row>
    <x:row r="12" ht="55" customHeight="1">
      <x:c r="A12" s="14" t="str">
        <x:v>Transición</x:v>
      </x:c>
      <x:c r="B12" s="14" t="str">
        <x:v>EN_QA → COMPLETADA</x:v>
      </x:c>
      <x:c r="C12" s="14" t="str">
        <x:v>Solo con aceptación y DoD PASS.</x:v>
      </x:c>
      <x:c r="D12" s="14" t="str">
        <x:v>Reviewer + evidencia.</x:v>
      </x:c>
    </x:row>
    <x:row r="13" ht="55" customHeight="1">
      <x:c r="A13" s="14" t="str">
        <x:v>DoR Web</x:v>
      </x:c>
      <x:c r="B13" s="14" t="str">
        <x:v>Fuente</x:v>
      </x:c>
      <x:c r="C13" s="14" t="str">
        <x:v>Figma/requisito/documentación exacta identificada. Infra puede usar Ruta: N/A — infraestructura.</x:v>
      </x:c>
      <x:c r="D13" s="14" t="str">
        <x:v>Sección Figma/ADR registrada.</x:v>
      </x:c>
    </x:row>
    <x:row r="14" ht="55" customHeight="1">
      <x:c r="A14" s="14" t="str">
        <x:v>DoR Web</x:v>
      </x:c>
      <x:c r="B14" s="14" t="str">
        <x:v>Owner</x:v>
      </x:c>
      <x:c r="C14" s="14" t="str">
        <x:v>Owner y reviewer definidos; si cruza dominios, reviewer debe ser el owner afectado.</x:v>
      </x:c>
      <x:c r="D14" s="14" t="str">
        <x:v>Owner/Reviewer llenos.</x:v>
      </x:c>
    </x:row>
    <x:row r="15" ht="55" customHeight="1">
      <x:c r="A15" s="14" t="str">
        <x:v>DoR Web</x:v>
      </x:c>
      <x:c r="B15" s="14" t="str">
        <x:v>Dependencias</x:v>
      </x:c>
      <x:c r="C15" s="14" t="str">
        <x:v>Todas las dependencias del backlog están COMPLETADAS.</x:v>
      </x:c>
      <x:c r="D15" s="14" t="str">
        <x:v>IDs verificados.</x:v>
      </x:c>
    </x:row>
    <x:row r="16" ht="55" customHeight="1">
      <x:c r="A16" s="14" t="str">
        <x:v>DoR Web</x:v>
      </x:c>
      <x:c r="B16" s="14" t="str">
        <x:v>Contrato</x:v>
      </x:c>
      <x:c r="C16" s="14" t="str">
        <x:v>DTO/API real o PROVISIONAL claramente identificado si hay red.</x:v>
      </x:c>
      <x:c r="D16" s="14" t="str">
        <x:v>Contract doc o nota provisional.</x:v>
      </x:c>
    </x:row>
    <x:row r="17" ht="55" customHeight="1">
      <x:c r="A17" s="14" t="str">
        <x:v>DoR Web</x:v>
      </x:c>
      <x:c r="B17" s="14" t="str">
        <x:v>Scope</x:v>
      </x:c>
      <x:c r="C17" s="14" t="str">
        <x:v>Role/permission/property scope definidos cuando aplique.</x:v>
      </x:c>
      <x:c r="D17" s="14" t="str">
        <x:v>Regla/fixture identificados.</x:v>
      </x:c>
    </x:row>
    <x:row r="18" ht="55" customHeight="1">
      <x:c r="A18" s="14" t="str">
        <x:v>DoR Web</x:v>
      </x:c>
      <x:c r="B18" s="14" t="str">
        <x:v>Estados</x:v>
      </x:c>
      <x:c r="C18" s="14" t="str">
        <x:v>Loading/Error/Empty/Offline/Submitting identificados cuando apliquen.</x:v>
      </x:c>
      <x:c r="D18" s="14" t="str">
        <x:v>Acceptance incluye estados.</x:v>
      </x:c>
    </x:row>
    <x:row r="19" ht="55" customHeight="1">
      <x:c r="A19" s="14" t="str">
        <x:v>Global DoD Web</x:v>
      </x:c>
      <x:c r="B19" s="14" t="str">
        <x:v>Arquitectura</x:v>
      </x:c>
      <x:c r="C19" s="14" t="str">
        <x:v>UI no hace fetch; UI no consume DTO; Service retorna DTO; Mapper puro; Domain limpio; boundaries PASS.</x:v>
      </x:c>
      <x:c r="D19" s="14" t="str">
        <x:v>lint/typecheck + review.</x:v>
      </x:c>
    </x:row>
    <x:row r="20" ht="55" customHeight="1">
      <x:c r="A20" s="14" t="str">
        <x:v>Global DoD Web</x:v>
      </x:c>
      <x:c r="B20" s="14" t="str">
        <x:v>Calidad</x:v>
      </x:c>
      <x:c r="C20" s="14" t="str">
        <x:v>npm run lint, typecheck, test y build PASS. En release también E2E.</x:v>
      </x:c>
      <x:c r="D20" s="14" t="str">
        <x:v>Logs/checks.</x:v>
      </x:c>
    </x:row>
    <x:row r="21" ht="55" customHeight="1">
      <x:c r="A21" s="14" t="str">
        <x:v>Global DoD Web</x:v>
      </x:c>
      <x:c r="B21" s="14" t="str">
        <x:v>UI</x:v>
      </x:c>
      <x:c r="C21" s="14" t="str">
        <x:v>Figma consistente; 0 clipping; 0 overlaps no intencionales; 0 controles visibles muertos; responsive donde aplique.</x:v>
      </x:c>
      <x:c r="D21" s="14" t="str">
        <x:v>Captura/video/manual QA.</x:v>
      </x:c>
    </x:row>
    <x:row r="22" ht="55" customHeight="1">
      <x:c r="A22" s="14" t="str">
        <x:v>Global DoD Web</x:v>
      </x:c>
      <x:c r="B22" s="14" t="str">
        <x:v>Navegación</x:v>
      </x:c>
      <x:c r="C22" s="14" t="str">
        <x:v>Rutas válidas; Back/Continue/Confirm correctos; no container click accidental; no V1/legacy.</x:v>
      </x:c>
      <x:c r="D22" s="14" t="str">
        <x:v>Journey manual/E2E.</x:v>
      </x:c>
    </x:row>
    <x:row r="23" ht="55" customHeight="1">
      <x:c r="A23" s="14" t="str">
        <x:v>Global DoD Web</x:v>
      </x:c>
      <x:c r="B23" s="14" t="str">
        <x:v>Datos</x:v>
      </x:c>
      <x:c r="C23" s="14" t="str">
        <x:v>Fixtures coherentes; IDs del mismo escenario; cálculos correctos; Reservation != Stay; Property scope correcto.</x:v>
      </x:c>
      <x:c r="D23" s="14" t="str">
        <x:v>Tests + fixture refs.</x:v>
      </x:c>
    </x:row>
    <x:row r="24" ht="55" customHeight="1">
      <x:c r="A24" s="14" t="str">
        <x:v>Global DoD Web</x:v>
      </x:c>
      <x:c r="B24" s="14" t="str">
        <x:v>Seguridad</x:v>
      </x:c>
      <x:c r="C24" s="14" t="str">
        <x:v>No secrets/PII logs; no PAN/CVV; Guest/Staff separados; permisos y scope representados correctamente.</x:v>
      </x:c>
      <x:c r="D24" s="14" t="str">
        <x:v>Security review.</x:v>
      </x:c>
    </x:row>
    <x:row r="25" ht="55" customHeight="1">
      <x:c r="A25" s="14" t="str">
        <x:v>Global DoD Web</x:v>
      </x:c>
      <x:c r="B25" s="14" t="str">
        <x:v>Accesibilidad</x:v>
      </x:c>
      <x:c r="C25" s="14" t="str">
        <x:v>Keyboard, focus, labels, contraste, target &gt;=24x24, auth paste/autocomplete, error no solo color.</x:v>
      </x:c>
      <x:c r="D25" s="14" t="str">
        <x:v>A11y review.</x:v>
      </x:c>
    </x:row>
    <x:row r="26" ht="55" customHeight="1">
      <x:c r="A26" s="14" t="str">
        <x:v>DoR Android</x:v>
      </x:c>
      <x:c r="B26" s="14" t="str">
        <x:v>Stack</x:v>
      </x:c>
      <x:c r="C26" s="14" t="str">
        <x:v>Stack Android aprobado/documentado antes de crear arquitectura dependiente.</x:v>
      </x:c>
      <x:c r="D26" s="14" t="str">
        <x:v>DEC Android.</x:v>
      </x:c>
    </x:row>
    <x:row r="27" ht="55" customHeight="1">
      <x:c r="A27" s="14" t="str">
        <x:v>DoR Android</x:v>
      </x:c>
      <x:c r="B27" s="14" t="str">
        <x:v>Contrato</x:v>
      </x:c>
      <x:c r="C27" s="14" t="str">
        <x:v>Contrato cross-app identificado; no inventar status/API incompatible.</x:v>
      </x:c>
      <x:c r="D27" s="14" t="str">
        <x:v>Referencia cross-app.</x:v>
      </x:c>
    </x:row>
    <x:row r="28" ht="55" customHeight="1">
      <x:c r="A28" s="14" t="str">
        <x:v>Global DoD Android</x:v>
      </x:c>
      <x:c r="B28" s="14" t="str">
        <x:v>Arquitectura</x:v>
      </x:c>
      <x:c r="C28" s="14" t="str">
        <x:v>Remote→DTO→Mapper→Domain→State/UI; UI no consume DTO ni hace red directa.</x:v>
      </x:c>
      <x:c r="D28" s="14" t="str">
        <x:v>Code review/tests.</x:v>
      </x:c>
    </x:row>
    <x:row r="29" ht="55" customHeight="1">
      <x:c r="A29" s="14" t="str">
        <x:v>Global DoD Android</x:v>
      </x:c>
      <x:c r="B29" s="14" t="str">
        <x:v>Calidad</x:v>
      </x:c>
      <x:c r="C29" s="14" t="str">
        <x:v>Build/compile + unit/UI tests PASS.</x:v>
      </x:c>
      <x:c r="D29" s="14" t="str">
        <x:v>Logs.</x:v>
      </x:c>
    </x:row>
    <x:row r="30" ht="55" customHeight="1">
      <x:c r="A30" s="14" t="str">
        <x:v>Global DoD Android</x:v>
      </x:c>
      <x:c r="B30" s="14" t="str">
        <x:v>UI/Estados</x:v>
      </x:c>
      <x:c r="C30" s="14" t="str">
        <x:v>Figma parity; navegación/back; Loading/Error/Empty/Offline; no false success.</x:v>
      </x:c>
      <x:c r="D30" s="14" t="str">
        <x:v>UI tests/manual.</x:v>
      </x:c>
    </x:row>
    <x:row r="31" ht="55" customHeight="1">
      <x:c r="A31" s="14" t="str">
        <x:v>Global DoD Android</x:v>
      </x:c>
      <x:c r="B31" s="14" t="str">
        <x:v>Seguridad/A11y</x:v>
      </x:c>
      <x:c r="C31" s="14" t="str">
        <x:v>No secrets/PII; Guest/Staff semantics; TalkBack/labels/targets/contrast/focus.</x:v>
      </x:c>
      <x:c r="D31" s="14" t="str">
        <x:v>Review.</x:v>
      </x:c>
    </x:row>
    <x:row r="32" ht="55" customHeight="1">
      <x:c r="A32" s="14" t="str">
        <x:v>PR</x:v>
      </x:c>
      <x:c r="B32" s="14" t="str">
        <x:v>Shared</x:v>
      </x:c>
      <x:c r="C32" s="14" t="str">
        <x:v>Cambios a shared requieren reviewer adicional y evidencia de reutilización real.</x:v>
      </x:c>
      <x:c r="D32" s="14" t="str">
        <x:v>PR reviewer.</x:v>
      </x:c>
    </x:row>
    <x:row r="33" ht="55" customHeight="1">
      <x:c r="A33" s="14" t="str">
        <x:v>PR</x:v>
      </x:c>
      <x:c r="B33" s="14" t="str">
        <x:v>Cross-domain</x:v>
      </x:c>
      <x:c r="C33" s="14" t="str">
        <x:v>Si la tarea afecta otro owner, ese owner debe revisar antes de completar.</x:v>
      </x:c>
      <x:c r="D33" s="14" t="str">
        <x:v>Reviewer correspondiente.</x:v>
      </x:c>
    </x:row>
    <x:row r="34" ht="55" customHeight="1">
      <x:c r="A34" s="14" t="str">
        <x:v>Regla</x:v>
      </x:c>
      <x:c r="B34" s="14" t="str">
        <x:v>No saltar tareas</x:v>
      </x:c>
      <x:c r="C34" s="14" t="str">
        <x:v>No comenzar una tarea dependiente si su dependencia no está COMPLETADA, salvo cambio explícito aprobado en backlog.</x:v>
      </x:c>
      <x:c r="D34" s="14" t="str">
        <x:v>Backlog actualizado.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42" hidden="0" customWidth="1"/>
    <x:col min="3" max="3" width="28" hidden="0" customWidth="1"/>
    <x:col min="4" max="4" width="22" hidden="0" customWidth="1"/>
    <x:col min="5" max="5" width="40" hidden="0" customWidth="1"/>
    <x:col min="6" max="6" width="44" hidden="0" customWidth="1"/>
    <x:col min="7" max="7" width="52" hidden="0" customWidth="1"/>
  </x:cols>
  <x:sheetData>
    <x:row r="1">
      <x:c r="A1" s="6" t="str">
        <x:v>Aplicación</x:v>
      </x:c>
      <x:c r="B1" s="6" t="str">
        <x:v>Bloque Figma / Fuente</x:v>
      </x:c>
      <x:c r="C1" s="6" t="str">
        <x:v>Node ID</x:v>
      </x:c>
      <x:c r="D1" s="6" t="str">
        <x:v>Owner</x:v>
      </x:c>
      <x:c r="E1" s="6" t="str">
        <x:v>Módulo(s)</x:v>
      </x:c>
      <x:c r="F1" s="6" t="str">
        <x:v>Ruta(s) principal(es)</x:v>
      </x:c>
      <x:c r="G1" s="6" t="str">
        <x:v>Notas</x:v>
      </x:c>
    </x:row>
    <x:row r="2" ht="60" customHeight="1">
      <x:c r="A2" s="14" t="str">
        <x:v>WEB</x:v>
      </x:c>
      <x:c r="B2" s="14" t="str">
        <x:v>High Fidelity — Web Pública / Final V3</x:v>
      </x:c>
      <x:c r="C2" s="14" t="str">
        <x:v>17:2</x:v>
      </x:c>
      <x:c r="D2" s="14" t="str">
        <x:v>WEB-1 / WEB-2</x:v>
      </x:c>
      <x:c r="E2" s="14" t="str">
        <x:v>booking, auth, account, checkout, rooms</x:v>
      </x:c>
      <x:c r="F2" s="14" t="str">
        <x:v>/, /habitaciones, /reserva, /acceso, /cuenta</x:v>
      </x:c>
      <x:c r="G2" s="14" t="str">
        <x:v>Public 01-05.</x:v>
      </x:c>
    </x:row>
    <x:row r="3" ht="60" customHeight="1">
      <x:c r="A3" s="14" t="str">
        <x:v>WEB</x:v>
      </x:c>
      <x:c r="B3" s="14" t="str">
        <x:v>V3 — 01 Reservation Engine</x:v>
      </x:c>
      <x:c r="C3" s="14" t="str"/>
      <x:c r="D3" s="14" t="str">
        <x:v>WEB-3</x:v>
      </x:c>
      <x:c r="E3" s="14" t="str">
        <x:v>reservations, stays, calendar</x:v>
      </x:c>
      <x:c r="F3" s="14" t="str">
        <x:v>/reservas, /calendario</x:v>
      </x:c>
      <x:c r="G3" s="14" t="str">
        <x:v>Reservation detail y Calendar se trazan por nombre de sección/pantalla; Node ID no verificado.</x:v>
      </x:c>
    </x:row>
    <x:row r="4" ht="60" customHeight="1">
      <x:c r="A4" s="14" t="str">
        <x:v>WEB</x:v>
      </x:c>
      <x:c r="B4" s="14" t="str">
        <x:v>V3 — 02 Folio &amp; Payments</x:v>
      </x:c>
      <x:c r="C4" s="14" t="str"/>
      <x:c r="D4" s="14" t="str">
        <x:v>WEB-4</x:v>
      </x:c>
      <x:c r="E4" s="14" t="str">
        <x:v>folio, payments, receivables</x:v>
      </x:c>
      <x:c r="F4" s="14" t="str">
        <x:v>/folios/*, /pagos</x:v>
      </x:c>
      <x:c r="G4" s="14" t="str">
        <x:v>Advanced Folio canonical.</x:v>
      </x:c>
    </x:row>
    <x:row r="5" ht="60" customHeight="1">
      <x:c r="A5" s="14" t="str">
        <x:v>WEB</x:v>
      </x:c>
      <x:c r="B5" s="14" t="str">
        <x:v>V3 — 03 Operations</x:v>
      </x:c>
      <x:c r="C5" s="14" t="str"/>
      <x:c r="D5" s="14" t="str">
        <x:v>WEB-3</x:v>
      </x:c>
      <x:c r="E5" s="14" t="str">
        <x:v>housekeeping, maintenance, concierge</x:v>
      </x:c>
      <x:c r="F5" s="14" t="str">
        <x:v>/housekeeping, /mantenimiento, /conserjeria</x:v>
      </x:c>
      <x:c r="G5" s="14" t="str">
        <x:v>Discrepancies y overlays se trazan por nombre de flujo; Node IDs no verificados.</x:v>
      </x:c>
    </x:row>
    <x:row r="6" ht="60" customHeight="1">
      <x:c r="A6" s="14" t="str">
        <x:v>WEB</x:v>
      </x:c>
      <x:c r="B6" s="14" t="str">
        <x:v>V3 — 04 Commercial / Availability / Revenue</x:v>
      </x:c>
      <x:c r="C6" s="14" t="str"/>
      <x:c r="D6" s="14" t="str">
        <x:v>WEB-4</x:v>
      </x:c>
      <x:c r="E6" s="14" t="str">
        <x:v>availability, rates, inventory, revenue, channels</x:v>
      </x:c>
      <x:c r="F6" s="14" t="str">
        <x:v>/availability, /revenue*</x:v>
      </x:c>
      <x:c r="G6" s="14" t="str">
        <x:v>Physical inventory != sellable availability.</x:v>
      </x:c>
    </x:row>
    <x:row r="7" ht="60" customHeight="1">
      <x:c r="A7" s="14" t="str">
        <x:v>WEB</x:v>
      </x:c>
      <x:c r="B7" s="14" t="str">
        <x:v>V3 — 05 B2B / Groups</x:v>
      </x:c>
      <x:c r="C7" s="14" t="str"/>
      <x:c r="D7" s="14" t="str">
        <x:v>WEB-3</x:v>
      </x:c>
      <x:c r="E7" s="14" t="str">
        <x:v>companies, agencies, groups</x:v>
      </x:c>
      <x:c r="F7" s="14" t="str">
        <x:v>/empresas, /agencias, /grupos</x:v>
      </x:c>
      <x:c r="G7" s="14" t="str">
        <x:v>Agency Commission y Group Lifecycle se trazan por nombre de ADR/flujo; Node IDs no verificados.</x:v>
      </x:c>
    </x:row>
    <x:row r="8" ht="60" customHeight="1">
      <x:c r="A8" s="14" t="str">
        <x:v>WEB</x:v>
      </x:c>
      <x:c r="B8" s="14" t="str">
        <x:v>Room Block / Cutoff / Pickup / Rooming / Master Folio</x:v>
      </x:c>
      <x:c r="C8" s="14" t="str"/>
      <x:c r="D8" s="14" t="str">
        <x:v>WEB-3 + WEB-4 review</x:v>
      </x:c>
      <x:c r="E8" s="14" t="str">
        <x:v>groups, folio</x:v>
      </x:c>
      <x:c r="F8" s="14" t="str">
        <x:v>/grupos/[groupId]*</x:v>
      </x:c>
      <x:c r="G8" s="14" t="str">
        <x:v>Finance-impact tasks require WEB-4 review.</x:v>
      </x:c>
    </x:row>
    <x:row r="9" ht="60" customHeight="1">
      <x:c r="A9" s="14" t="str">
        <x:v>WEB</x:v>
      </x:c>
      <x:c r="B9" s="14" t="str">
        <x:v>V3 — 06 Integrations</x:v>
      </x:c>
      <x:c r="C9" s="14" t="str"/>
      <x:c r="D9" s="14" t="str">
        <x:v>WEB-3</x:v>
      </x:c>
      <x:c r="E9" s="14" t="str">
        <x:v>integrations</x:v>
      </x:c>
      <x:c r="F9" s="14" t="str">
        <x:v>/integraciones*</x:v>
      </x:c>
      <x:c r="G9" s="14" t="str">
        <x:v>Integration Detail, Error Queue, Mapping y Health se trazan por nombre de pantalla/flujo; Node IDs no verificados.</x:v>
      </x:c>
    </x:row>
    <x:row r="10" ht="60" customHeight="1">
      <x:c r="A10" s="14" t="str">
        <x:v>WEB</x:v>
      </x:c>
      <x:c r="B10" s="14" t="str">
        <x:v>V3 — 07 Security / Privacy / Access</x:v>
      </x:c>
      <x:c r="C10" s="14" t="str"/>
      <x:c r="D10" s="14" t="str">
        <x:v>WEB-2</x:v>
      </x:c>
      <x:c r="E10" s="14" t="str">
        <x:v>security, privacy, permissions</x:v>
      </x:c>
      <x:c r="F10" s="14" t="str">
        <x:v>/seguridad*</x:v>
      </x:c>
      <x:c r="G10" s="14" t="str">
        <x:v>Privacy Center canonical.</x:v>
      </x:c>
    </x:row>
    <x:row r="11" ht="60" customHeight="1">
      <x:c r="A11" s="14" t="str">
        <x:v>WEB</x:v>
      </x:c>
      <x:c r="B11" s="14" t="str">
        <x:v>V3 — 08 Reporting</x:v>
      </x:c>
      <x:c r="C11" s="14" t="str"/>
      <x:c r="D11" s="14" t="str">
        <x:v>WEB-3</x:v>
      </x:c>
      <x:c r="E11" s="14" t="str">
        <x:v>reports</x:v>
      </x:c>
      <x:c r="F11" s="14" t="str">
        <x:v>/reportes*</x:v>
      </x:c>
      <x:c r="G11" s="14" t="str">
        <x:v>Metrics must declare property/date scope.</x:v>
      </x:c>
    </x:row>
    <x:row r="12" ht="60" customHeight="1">
      <x:c r="A12" s="14" t="str">
        <x:v>WEB</x:v>
      </x:c>
      <x:c r="B12" s="14" t="str">
        <x:v>V3 — 09 Multi-property</x:v>
      </x:c>
      <x:c r="C12" s="14" t="str"/>
      <x:c r="D12" s="14" t="str">
        <x:v>WEB-2 + WEB-4 review</x:v>
      </x:c>
      <x:c r="E12" s="14" t="str">
        <x:v>properties</x:v>
      </x:c>
      <x:c r="F12" s="14" t="str">
        <x:v>/dashboard, /disponibilidad-multi-property</x:v>
      </x:c>
      <x:c r="G12" s="14" t="str">
        <x:v>ALL_PROPERTIES = authorized set only.</x:v>
      </x:c>
    </x:row>
    <x:row r="13" ht="60" customHeight="1">
      <x:c r="A13" s="14" t="str">
        <x:v>WEB</x:v>
      </x:c>
      <x:c r="B13" s="14" t="str">
        <x:v>V3 — 12 QA / E2E</x:v>
      </x:c>
      <x:c r="C13" s="14" t="str">
        <x:v>1745:13252</x:v>
      </x:c>
      <x:c r="D13" s="14" t="str">
        <x:v>Todos</x:v>
      </x:c>
      <x:c r="E13" s="14" t="str">
        <x:v>qa/e2e</x:v>
      </x:c>
      <x:c r="F13" s="14" t="str">
        <x:v>todas</x:v>
      </x:c>
      <x:c r="G13" s="14" t="str">
        <x:v>Final regression reference.</x:v>
      </x:c>
    </x:row>
    <x:row r="14" ht="60" customHeight="1">
      <x:c r="A14" s="14" t="str">
        <x:v>ANDROID</x:v>
      </x:c>
      <x:c r="B14" s="14" t="str">
        <x:v>Implementation Ready — Android V2 + V3</x:v>
      </x:c>
      <x:c r="C14" s="14" t="str">
        <x:v>238:132</x:v>
      </x:c>
      <x:c r="D14" s="14" t="str">
        <x:v>ANDROID-1</x:v>
      </x:c>
      <x:c r="E14" s="14" t="str">
        <x:v>stay, services, account, checkout, rewards, states</x:v>
      </x:c>
      <x:c r="F14" s="14" t="str">
        <x:v>Android navigation</x:v>
      </x:c>
      <x:c r="G14" s="14" t="str">
        <x:v>Cross-app reviewers depend on domain.</x:v>
      </x:c>
    </x:row>
    <x:row r="16">
      <x:c r="A16" s="64" t="str">
        <x:v>Política de Node IDs</x:v>
      </x:c>
      <x:c r="B16" s="64" t="str"/>
      <x:c r="C16" s="64" t="str"/>
      <x:c r="D16" s="64" t="str"/>
      <x:c r="E16" s="64" t="str"/>
      <x:c r="F16" s="64" t="str"/>
      <x:c r="G16" s="64" t="str"/>
    </x:row>
    <x:row r="17" ht="48" customHeight="1">
      <x:c r="A17" s="12" t="str">
        <x:v>Regla</x:v>
      </x:c>
      <x:c r="B17" s="12" t="str">
        <x:v>Solo se registran Node IDs verificados de forma independiente. Una celda vacía NO autoriza inventar un ID; usar nombre de sección/pantalla.</x:v>
      </x:c>
      <x:c r="C17" s="12" t="str"/>
      <x:c r="D17" s="12" t="str"/>
      <x:c r="E17" s="12" t="str"/>
      <x:c r="F17" s="12" t="str"/>
      <x:c r="G17" s="12" t="str"/>
    </x:row>
    <x:row r="18" ht="48" customHeight="1">
      <x:c r="A18" s="12" t="str">
        <x:v>Verificados</x:v>
      </x:c>
      <x:c r="B18" s="12" t="str">
        <x:v>17:2 (Web Pública final); 238:132 (Android Implementation Ready); 1745:13252 (regresión final). 550:294 y 31:132 quedan disponibles como referencias conocidas cuando una tarea corresponda exactamente.</x:v>
      </x:c>
      <x:c r="C18" s="12" t="str"/>
      <x:c r="D18" s="12" t="str"/>
      <x:c r="E18" s="12" t="str"/>
      <x:c r="F18" s="12" t="str"/>
      <x:c r="G18" s="12" t="str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78" hidden="0" customWidth="1"/>
    <x:col min="4" max="4" width="18" hidden="0" customWidth="1"/>
  </x:cols>
  <x:sheetData>
    <x:row r="1">
      <x:c r="A1" s="67" t="str">
        <x:v>Tipo</x:v>
      </x:c>
      <x:c r="B1" s="67" t="str">
        <x:v>Elemento</x:v>
      </x:c>
      <x:c r="C1" s="67" t="str">
        <x:v>Corrección aplicada</x:v>
      </x:c>
      <x:c r="D1" s="67" t="str">
        <x:v>Resultado</x:v>
      </x:c>
    </x:row>
    <x:row r="2" ht="50" customHeight="1">
      <x:c r="A2" s="14" t="str">
        <x:v>Ubicación</x:v>
      </x:c>
      <x:c r="B2" s="14" t="str">
        <x:v>Backlog maestro</x:v>
      </x:c>
      <x:c r="C2" s="14" t="str">
        <x:v>Ubicación canónica definida como docs/Backlog_Implementacion_PMS_V1.xlsx.</x:v>
      </x:c>
      <x:c r="D2" s="14" t="str">
        <x:v>CORREGIDO</x:v>
      </x:c>
    </x:row>
    <x:row r="3" ht="50" customHeight="1">
      <x:c r="A3" s="14" t="str">
        <x:v>Referencia</x:v>
      </x:c>
      <x:c r="B3" s="14" t="str">
        <x:v>IMP-WEB-0004</x:v>
      </x:c>
      <x:c r="C3" s="14" t="str">
        <x:v>Fuente exacta -&gt; frontend/pms-hotel-web/docs/31_DESIGN_TOKEN_FOUNDATION.md.</x:v>
      </x:c>
      <x:c r="D3" s="14" t="str">
        <x:v>CORREGIDO</x:v>
      </x:c>
    </x:row>
    <x:row r="4" ht="50" customHeight="1">
      <x:c r="A4" s="14" t="str">
        <x:v>Referencia</x:v>
      </x:c>
      <x:c r="B4" s="14" t="str">
        <x:v>IMP-WEB-0006..0011</x:v>
      </x:c>
      <x:c r="C4" s="14" t="str">
        <x:v>Todas las referencias docs/ ambiguas se sustituyeron por rutas completas de repositorio.</x:v>
      </x:c>
      <x:c r="D4" s="14" t="str">
        <x:v>CORREGIDO</x:v>
      </x:c>
    </x:row>
    <x:row r="5" ht="50" customHeight="1">
      <x:c r="A5" s="14" t="str">
        <x:v>Documento</x:v>
      </x:c>
      <x:c r="B5" s="14" t="str">
        <x:v>04_MODULE_BOUNDARIES.md</x:v>
      </x:c>
      <x:c r="C5" s="14" t="str">
        <x:v>Se incorpora como especificación autoritativa de imports/ESLint boundaries.</x:v>
      </x:c>
      <x:c r="D5" s="14" t="str">
        <x:v>CORREGIDO</x:v>
      </x:c>
    </x:row>
    <x:row r="6" ht="50" customHeight="1">
      <x:c r="A6" s="14" t="str">
        <x:v>Dependencia</x:v>
      </x:c>
      <x:c r="B6" s="14" t="str">
        <x:v>IMP-WEB-0016</x:v>
      </x:c>
      <x:c r="C6" s="14" t="str">
        <x:v>Ahora depende de IMP-WEB-0001..0015 para documentar la implementación real completa.</x:v>
      </x:c>
      <x:c r="D6" s="14" t="str">
        <x:v>CORREGIDO</x:v>
      </x:c>
    </x:row>
    <x:row r="7" ht="50" customHeight="1">
      <x:c r="A7" s="14" t="str">
        <x:v>Figma</x:v>
      </x:c>
      <x:c r="B7" s="14" t="str">
        <x:v>Node IDs no verificados</x:v>
      </x:c>
      <x:c r="C7" s="14" t="str">
        <x:v>Eliminados del backlog/Figma Map. Celdas vacías obligan a usar el nombre de sección, nunca inventar un ID.</x:v>
      </x:c>
      <x:c r="D7" s="14" t="str">
        <x:v>CORREGIDO</x:v>
      </x:c>
    </x:row>
    <x:row r="8" ht="50" customHeight="1">
      <x:c r="A8" s="14" t="str">
        <x:v>Figma</x:v>
      </x:c>
      <x:c r="B8" s="14" t="str">
        <x:v>Node IDs verificados</x:v>
      </x:c>
      <x:c r="C8" s="14" t="str">
        <x:v>Se conservan únicamente referencias verificadas aplicables: 17:2, 238:132, 1745:13252; 550:294 y 31:132 solo cuando correspondan exactamente.</x:v>
      </x:c>
      <x:c r="D8" s="14" t="str">
        <x:v>CORREGIDO</x:v>
      </x:c>
    </x:row>
    <x:row r="9" ht="50" customHeight="1">
      <x:c r="A9" s="14" t="str">
        <x:v>Mocks</x:v>
      </x:c>
      <x:c r="B9" s="14" t="str">
        <x:v>IDs runtime</x:v>
      </x:c>
      <x:c r="C9" s="14" t="str">
        <x:v>Documentación corregida para usar IDs de negocio coherentes; Figma Node IDs nunca son runtime IDs.</x:v>
      </x:c>
      <x:c r="D9" s="14" t="str">
        <x:v>DOC PATCH</x:v>
      </x:c>
    </x:row>
    <x:row r="10" ht="50" customHeight="1">
      <x:c r="A10" s="14" t="str">
        <x:v>State</x:v>
      </x:c>
      <x:c r="B10" s="14" t="str">
        <x:v>TanStack Query</x:v>
      </x:c>
      <x:c r="C10" s="14" t="str">
        <x:v>Documentación corregida: decisión ya aprobada; deja de decir 'elegir en Sprint 0'.</x:v>
      </x:c>
      <x:c r="D10" s="14" t="str">
        <x:v>DOC PATCH</x:v>
      </x:c>
    </x:row>
    <x:row r="11" ht="50" customHeight="1">
      <x:c r="A11" s="14" t="str">
        <x:v>Testing</x:v>
      </x:c>
      <x:c r="B11" s="14" t="str">
        <x:v>Playwright</x:v>
      </x:c>
      <x:c r="C11" s="14" t="str">
        <x:v>Documentación corregida: diferido hasta IMP-WEB-1001, no Sprint 0.</x:v>
      </x:c>
      <x:c r="D11" s="14" t="str">
        <x:v>DOC PATCH</x:v>
      </x:c>
    </x:row>
    <x:row r="12" ht="50" customHeight="1">
      <x:c r="A12" s="14" t="str">
        <x:v>DoR</x:v>
      </x:c>
      <x:c r="B12" s="14" t="str">
        <x:v>Ruta infraestructura</x:v>
      </x:c>
      <x:c r="C12" s="14" t="str">
        <x:v>Documentación corregida: Route: N/A — infraestructura es válido para tareas puramente técnicas.</x:v>
      </x:c>
      <x:c r="D12" s="14" t="str">
        <x:v>DOC PATCH</x:v>
      </x:c>
    </x:row>
    <x:row r="13" ht="50" customHeight="1">
      <x:c r="A13" s="14" t="str">
        <x:v>Git</x:v>
      </x:c>
      <x:c r="B13" s="14" t="str">
        <x:v>Sprint 0</x:v>
      </x:c>
      <x:c r="C13" s="14" t="str">
        <x:v>Documentación corregida: excepción aprobada para un PR cohesivo IMP-WEB-0001..0017 en chore/web-sprint-0.</x:v>
      </x:c>
      <x:c r="D13" s="14" t="str">
        <x:v>DOC PATCH</x:v>
      </x:c>
    </x:row>
    <x:row r="14" ht="50" customHeight="1">
      <x:c r="A14" s="14" t="str">
        <x:v>Manifest</x:v>
      </x:c>
      <x:c r="B14" s="14" t="str">
        <x:v>MANIFEST.json</x:v>
      </x:c>
      <x:c r="C14" s="14" t="str">
        <x:v>Debe eliminarse del repo: era inventario estático pre-Codex y quedó obsoleto al añadir nuevos archivos.</x:v>
      </x:c>
      <x:c r="D14" s="14" t="str">
        <x:v>ELIMINAR</x:v>
      </x:c>
    </x:row>
  </x:sheetData>
  <x:pageMargins left="0.7" right="0.7" top="0.75" bottom="0.75" header="0.3" footer="0.3"/>
</x:worksheet>
</file>