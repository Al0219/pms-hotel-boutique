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5d013c118c47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24b1de2e257d4440"/>
    <x:sheet xmlns:r="http://schemas.openxmlformats.org/officeDocument/2006/relationships" name="01_Backlog" sheetId="2" r:id="R6bfd1324111d494f"/>
    <x:sheet xmlns:r="http://schemas.openxmlformats.org/officeDocument/2006/relationships" name="02_Owners" sheetId="3" r:id="Rdb64a3d1b7f54970"/>
    <x:sheet xmlns:r="http://schemas.openxmlformats.org/officeDocument/2006/relationships" name="03_Workflow_DoR_DoD" sheetId="4" r:id="R641152c97eb14f46"/>
    <x:sheet xmlns:r="http://schemas.openxmlformats.org/officeDocument/2006/relationships" name="04_Figma_Map" sheetId="5" r:id="Rd2fc1e3be9cc40c5"/>
    <x:sheet xmlns:r="http://schemas.openxmlformats.org/officeDocument/2006/relationships" name="05_Consistency_Audit" sheetId="6" r:id="Rd7821257e98145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221e04ca8948fd" /><Relationship Type="http://schemas.openxmlformats.org/officeDocument/2006/relationships/theme" Target="/xl/theme/theme1.xml" Id="Rf774e3cc10e047e9" /><Relationship Type="http://schemas.openxmlformats.org/officeDocument/2006/relationships/sharedStrings" Target="/xl/sharedStrings.xml" Id="Ra6c4f6dffe4a4f0d" /><Relationship Type="http://schemas.openxmlformats.org/officeDocument/2006/relationships/worksheet" Target="/xl/worksheets/sheet1.xml" Id="R24b1de2e257d4440" /><Relationship Type="http://schemas.openxmlformats.org/officeDocument/2006/relationships/worksheet" Target="/xl/worksheets/sheet2.xml" Id="R6bfd1324111d494f" /><Relationship Type="http://schemas.openxmlformats.org/officeDocument/2006/relationships/worksheet" Target="/xl/worksheets/sheet3.xml" Id="Rdb64a3d1b7f54970" /><Relationship Type="http://schemas.openxmlformats.org/officeDocument/2006/relationships/worksheet" Target="/xl/worksheets/sheet4.xml" Id="R641152c97eb14f46" /><Relationship Type="http://schemas.openxmlformats.org/officeDocument/2006/relationships/worksheet" Target="/xl/worksheets/sheet5.xml" Id="Rd2fc1e3be9cc40c5" /><Relationship Type="http://schemas.openxmlformats.org/officeDocument/2006/relationships/worksheet" Target="/xl/worksheets/sheet6.xml" Id="Rd7821257e98145a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ff6a59949ab400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f6a59949ab400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f5b1486ddb49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1db797273d14a10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1</x:v>
      </x:c>
      <x:c r="C6" s="41" t="n">
        <x:f>COUNTIF('01_Backlog'!J2:J142,"EN_PROGRESO")</x:f>
        <x:v>0</x:v>
      </x:c>
      <x:c r="D6" s="41" t="n">
        <x:f>COUNTIF('01_Backlog'!J2:J142,"EN_QA")</x:f>
        <x:v>1</x:v>
      </x:c>
      <x:c r="E6" s="41" t="n">
        <x:f>COUNTIF('01_Backlog'!J2:J142,"BLOQUEADA")</x:f>
        <x:v>0</x:v>
      </x:c>
      <x:c r="F6" s="41" t="n">
        <x:f>COUNTIF('01_Backlog'!J2:J142,"COMPLETADA")</x:f>
        <x:v>28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11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1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c9f5b1486ddb49f9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EN_QA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READY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 PASS 2026-09-10: DEC-G-013 APPROVED; contrato frontend data/mock APPROVED en Android doc 16; Figma base 239:132 y sección de estados 1818:410 (Base 1821:410; Selected 1818:411; Loading 1819:410; Submitting 1820:410; Success 1820:13372; Error 1820:13290; Offline 1820:13331). Fixture catálogo/contexto/mutation exactos; priceText solo presentación; Mapper/Domain/UI, TanStack Query/RemoteState y NetworkError definidos. Matriz DoR 15/15 PASS; sin gate adicional pendiente. DoD no iniciado: sin código, tests, feature branch ni cambios a IMP-AND-0100/0102.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contract reviewed.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/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PENDIENTE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contract confirmed.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/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PENDIENTE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/>
      <x:c r="X131" s="14"/>
      <x:c r="Y131" s="14"/>
      <x:c r="Z131" s="14"/>
    </x:row>
    <x:row r="132" ht="84" customHeight="1">
      <x:c r="A132" s="14" t="str">
        <x:v>IMP-AND-0201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CRÍTICA</x:v>
      </x:c>
      <x:c r="J132" s="14" t="str">
        <x:v>PENDIENTE</x:v>
      </x:c>
      <x:c r="K132" s="14" t="str">
        <x:v>IMP-AND-0009</x:v>
      </x:c>
      <x:c r="L132" s="14" t="str">
        <x:v>Android 02 Cuenta, checkout y factura</x:v>
      </x:c>
      <x:c r="M132" s="14" t="str">
        <x:v>238:132</x:v>
      </x:c>
      <x:c r="N132" s="14" t="str">
        <x:v>Account</x:v>
      </x:c>
      <x:c r="O132" s="14" t="str">
        <x:v>Crear Account/Profile contracts</x:v>
      </x:c>
      <x:c r="P132" s="14" t="str">
        <x:v>GuestAccount/Profile separados; remote-&gt;DTO-&gt;Mapper-&gt;Domain.</x:v>
      </x:c>
      <x:c r="Q132" s="14" t="str">
        <x:v>No Staff auth; no provider JSON UI; mapper tests.</x:v>
      </x:c>
      <x:c r="R132" s="14" t="str">
        <x:v>S0 complete.</x:v>
      </x:c>
      <x:c r="S132" s="14" t="str">
        <x:v>Unit.</x:v>
      </x:c>
      <x:c r="T132" s="14" t="str">
        <x:v>unit</x:v>
      </x:c>
      <x:c r="U132" s="14" t="str">
        <x:v>account layers</x:v>
      </x:c>
      <x:c r="V132" s="14" t="str">
        <x:v>feature/android-account-contract</x:v>
      </x:c>
      <x:c r="W132" s="14"/>
      <x:c r="X132" s="14"/>
      <x:c r="Y132" s="14"/>
      <x:c r="Z132" s="14"/>
    </x:row>
    <x:row r="133" ht="84" customHeight="1">
      <x:c r="A133" s="14" t="str">
        <x:v>IMP-AND-0202</x:v>
      </x:c>
      <x:c r="B133" s="14" t="str">
        <x:v>S2 Android Account</x:v>
      </x:c>
      <x:c r="C133" s="14" t="str">
        <x:v>ANDROID</x:v>
      </x:c>
      <x:c r="D133" s="14" t="str">
        <x:v>Cuenta</x:v>
      </x:c>
      <x:c r="E133" s="14" t="str">
        <x:v>ANDROID-1</x:v>
      </x:c>
      <x:c r="F133" s="14" t="str">
        <x:v>WEB-2</x:v>
      </x:c>
      <x:c r="G133" s="14" t="str">
        <x:v>account</x:v>
      </x:c>
      <x:c r="H133" s="14" t="str">
        <x:v>FEATURE</x:v>
      </x:c>
      <x:c r="I133" s="14" t="str">
        <x:v>ALTA</x:v>
      </x:c>
      <x:c r="J133" s="14" t="str">
        <x:v>PENDIENTE</x:v>
      </x:c>
      <x:c r="K133" s="14" t="str">
        <x:v>IMP-AND-0201</x:v>
      </x:c>
      <x:c r="L133" s="14" t="str">
        <x:v>Android 02 Cuenta, checkout y factura</x:v>
      </x:c>
      <x:c r="M133" s="14" t="str">
        <x:v>238:132</x:v>
      </x:c>
      <x:c r="N133" s="14" t="str">
        <x:v>Account/Profile</x:v>
      </x:c>
      <x:c r="O133" s="14" t="str">
        <x:v>Implementar cuenta/perfil</x:v>
      </x:c>
      <x:c r="P133" s="14" t="str">
        <x:v>Display/edit Profile; loading/error/offline; submit.</x:v>
      </x:c>
      <x:c r="Q133" s="14" t="str">
        <x:v>Account/Profile separation; no secrets; save states correct.</x:v>
      </x:c>
      <x:c r="R133" s="14" t="str">
        <x:v>0201 complete.</x:v>
      </x:c>
      <x:c r="S133" s="14" t="str">
        <x:v>UI tests.</x:v>
      </x:c>
      <x:c r="T133" s="14" t="str">
        <x:v>unit/ui</x:v>
      </x:c>
      <x:c r="U133" s="14" t="str">
        <x:v>account/profile screens</x:v>
      </x:c>
      <x:c r="V133" s="14" t="str">
        <x:v>feature/android-account-profile</x:v>
      </x:c>
      <x:c r="W133" s="14"/>
      <x:c r="X133" s="14"/>
      <x:c r="Y133" s="14"/>
      <x:c r="Z133" s="14"/>
    </x:row>
    <x:row r="134" ht="84" customHeight="1">
      <x:c r="A134" s="14" t="str">
        <x:v>IMP-AND-0203</x:v>
      </x:c>
      <x:c r="B134" s="14" t="str">
        <x:v>S2 Android Account</x:v>
      </x:c>
      <x:c r="C134" s="14" t="str">
        <x:v>ANDROID</x:v>
      </x:c>
      <x:c r="D134" s="14" t="str">
        <x:v>Checkout/Factura</x:v>
      </x:c>
      <x:c r="E134" s="14" t="str">
        <x:v>ANDROID-1</x:v>
      </x:c>
      <x:c r="F134" s="14" t="str">
        <x:v>WEB-4</x:v>
      </x:c>
      <x:c r="G134" s="14" t="str">
        <x:v>checkout</x:v>
      </x:c>
      <x:c r="H134" s="14" t="str">
        <x:v>FEATURE</x:v>
      </x:c>
      <x:c r="I134" s="14" t="str">
        <x:v>CRÍTICA</x:v>
      </x:c>
      <x:c r="J134" s="14" t="str">
        <x:v>PENDIENTE</x:v>
      </x:c>
      <x:c r="K134" s="14" t="str">
        <x:v>IMP-AND-0102</x:v>
      </x:c>
      <x:c r="L134" s="14" t="str">
        <x:v>Android 02 Cuenta, checkout y factura</x:v>
      </x:c>
      <x:c r="M134" s="14" t="str">
        <x:v>238:132</x:v>
      </x:c>
      <x:c r="N134" s="14" t="str">
        <x:v>Checkout/Invoice</x:v>
      </x:c>
      <x:c r="O134" s="14" t="str">
        <x:v>Implementar checkout e invoice</x:v>
      </x:c>
      <x:c r="P134" s="14" t="str">
        <x:v>Charges/balance/status Folio read model; invoice ref/status/date/total; offline/error.</x:v>
      </x:c>
      <x:c r="Q134" s="14" t="str">
        <x:v>Finance no recalculated in UI; no sensitive file persisted; no provider raw data.</x:v>
      </x:c>
      <x:c r="R134" s="14" t="str">
        <x:v>Folio/Fiscal mobile contract reviewed.</x:v>
      </x:c>
      <x:c r="S134" s="14" t="str">
        <x:v>Mapper + UI/security.</x:v>
      </x:c>
      <x:c r="T134" s="14" t="str">
        <x:v>unit/ui</x:v>
      </x:c>
      <x:c r="U134" s="14" t="str">
        <x:v>checkout/invoice</x:v>
      </x:c>
      <x:c r="V134" s="14" t="str">
        <x:v>feature/android-checkout-invoice</x:v>
      </x:c>
      <x:c r="W134" s="14"/>
      <x:c r="X134" s="14"/>
      <x:c r="Y134" s="14"/>
      <x:c r="Z134" s="14"/>
    </x:row>
    <x:row r="135" ht="84" customHeight="1">
      <x:c r="A135" s="14" t="str">
        <x:v>IMP-AND-0204</x:v>
      </x:c>
      <x:c r="B135" s="14" t="str">
        <x:v>S2 Android Account</x:v>
      </x:c>
      <x:c r="C135" s="14" t="str">
        <x:v>ANDROID</x:v>
      </x:c>
      <x:c r="D135" s="14" t="str">
        <x:v>QA</x:v>
      </x:c>
      <x:c r="E135" s="14" t="str">
        <x:v>ANDROID-1</x:v>
      </x:c>
      <x:c r="F135" s="14" t="str">
        <x:v>WEB-2</x:v>
      </x:c>
      <x:c r="G135" s="14" t="str">
        <x:v>account-checkout</x:v>
      </x:c>
      <x:c r="H135" s="14" t="str">
        <x:v>QA</x:v>
      </x:c>
      <x:c r="I135" s="14" t="str">
        <x:v>CRÍTICA</x:v>
      </x:c>
      <x:c r="J135" s="14" t="str">
        <x:v>PENDIENTE</x:v>
      </x:c>
      <x:c r="K135" s="14" t="str">
        <x:v>IMP-AND-0202, IMP-AND-0203</x:v>
      </x:c>
      <x:c r="L135" s="14" t="str">
        <x:v>Android 02 Cuenta, checkout y factura</x:v>
      </x:c>
      <x:c r="M135" s="14" t="str">
        <x:v>238:132</x:v>
      </x:c>
      <x:c r="N135" s="14" t="str">
        <x:v>Account/Checkout</x:v>
      </x:c>
      <x:c r="O135" s="14" t="str">
        <x:v>QA Cuenta/Checkout/Factura</x:v>
      </x:c>
      <x:c r="P135" s="14" t="str">
        <x:v>Profile/checkout/invoice/states/navigation/contracts.</x:v>
      </x:c>
      <x:c r="Q135" s="14" t="str">
        <x:v>Guest/Staff separation; finance coherent; Figma parity.</x:v>
      </x:c>
      <x:c r="R135" s="14" t="str">
        <x:v>S2 done.</x:v>
      </x:c>
      <x:c r="S135" s="14" t="str">
        <x:v>Android Global DoD.</x:v>
      </x:c>
      <x:c r="T135" s="14" t="str">
        <x:v>build/tests/manual</x:v>
      </x:c>
      <x:c r="U135" s="14" t="str">
        <x:v>Android S2</x:v>
      </x:c>
      <x:c r="V135" s="14" t="str">
        <x:v>test/android-account-checkout</x:v>
      </x:c>
      <x:c r="W135" s="14"/>
      <x:c r="X135" s="14"/>
      <x:c r="Y135" s="14"/>
      <x:c r="Z135" s="14"/>
    </x:row>
    <x:row r="136" ht="84" customHeight="1">
      <x:c r="A136" s="14" t="str">
        <x:v>IMP-AND-0301</x:v>
      </x:c>
      <x:c r="B136" s="14" t="str">
        <x:v>S3 Android Loyalty</x:v>
      </x:c>
      <x:c r="C136" s="14" t="str">
        <x:v>ANDROID</x:v>
      </x:c>
      <x:c r="D136" s="14" t="str">
        <x:v>Loyalty</x:v>
      </x:c>
      <x:c r="E136" s="14" t="str">
        <x:v>ANDROID-1</x:v>
      </x:c>
      <x:c r="F136" s="14" t="str">
        <x:v>WEB-2</x:v>
      </x:c>
      <x:c r="G136" s="14" t="str">
        <x:v>rewards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Rewards</x:v>
      </x:c>
      <x:c r="O136" s="14" t="str">
        <x:v>Implementar Rewards</x:v>
      </x:c>
      <x:c r="P136" s="14" t="str">
        <x:v>Ledger/balance Domain cross-app; offline/error/empty.</x:v>
      </x:c>
      <x:c r="Q136" s="14" t="str">
        <x:v>CANCELLED/NO_SHOW no elegibles; ledger read-only.</x:v>
      </x:c>
      <x:c r="R136" s="14" t="str">
        <x:v>Reward contract reviewed.</x:v>
      </x:c>
      <x:c r="S136" s="14" t="str">
        <x:v>Mapper + UI.</x:v>
      </x:c>
      <x:c r="T136" s="14" t="str">
        <x:v>unit/ui</x:v>
      </x:c>
      <x:c r="U136" s="14" t="str">
        <x:v>rewards</x:v>
      </x:c>
      <x:c r="V136" s="14" t="str">
        <x:v>feature/android-rewards</x:v>
      </x:c>
      <x:c r="W136" s="14"/>
      <x:c r="X136" s="14"/>
      <x:c r="Y136" s="14"/>
      <x:c r="Z136" s="14"/>
    </x:row>
    <x:row r="137" ht="84" customHeight="1">
      <x:c r="A137" s="14" t="str">
        <x:v>IMP-AND-0302</x:v>
      </x:c>
      <x:c r="B137" s="14" t="str">
        <x:v>S3 Android Loyalty</x:v>
      </x:c>
      <x:c r="C137" s="14" t="str">
        <x:v>ANDROID</x:v>
      </x:c>
      <x:c r="D137" s="14" t="str">
        <x:v>Promociones</x:v>
      </x:c>
      <x:c r="E137" s="14" t="str">
        <x:v>ANDROID-1</x:v>
      </x:c>
      <x:c r="F137" s="14" t="str">
        <x:v>WEB-2</x:v>
      </x:c>
      <x:c r="G137" s="14" t="str">
        <x:v>promotions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IMP-AND-0009</x:v>
      </x:c>
      <x:c r="L137" s="14" t="str">
        <x:v>Android 03 Loyalty, promociones y perfil</x:v>
      </x:c>
      <x:c r="M137" s="14" t="str">
        <x:v>238:132</x:v>
      </x:c>
      <x:c r="N137" s="14" t="str">
        <x:v>Promotions</x:v>
      </x:c>
      <x:c r="O137" s="14" t="str">
        <x:v>Implementar Promotions</x:v>
      </x:c>
      <x:c r="P137" s="14" t="str">
        <x:v>Eligibility/vigencia/stacking reason; states.</x:v>
      </x:c>
      <x:c r="Q137" s="14" t="str">
        <x:v>Incompatible no combinable; reasons correct.</x:v>
      </x:c>
      <x:c r="R137" s="14" t="str">
        <x:v>Promotion contract reviewed.</x:v>
      </x:c>
      <x:c r="S137" s="14" t="str">
        <x:v>Mapper + UI.</x:v>
      </x:c>
      <x:c r="T137" s="14" t="str">
        <x:v>unit/ui</x:v>
      </x:c>
      <x:c r="U137" s="14" t="str">
        <x:v>promotions</x:v>
      </x:c>
      <x:c r="V137" s="14" t="str">
        <x:v>feature/android-promotions</x:v>
      </x:c>
      <x:c r="W137" s="14"/>
      <x:c r="X137" s="14"/>
      <x:c r="Y137" s="14"/>
      <x:c r="Z137" s="14"/>
    </x:row>
    <x:row r="138" ht="84" customHeight="1">
      <x:c r="A138" s="14" t="str">
        <x:v>IMP-AND-0303</x:v>
      </x:c>
      <x:c r="B138" s="14" t="str">
        <x:v>S3 Android Loyalty</x:v>
      </x:c>
      <x:c r="C138" s="14" t="str">
        <x:v>ANDROID</x:v>
      </x:c>
      <x:c r="D138" s="14" t="str">
        <x:v>Perfil</x:v>
      </x:c>
      <x:c r="E138" s="14" t="str">
        <x:v>ANDROID-1</x:v>
      </x:c>
      <x:c r="F138" s="14" t="str">
        <x:v>WEB-2</x:v>
      </x:c>
      <x:c r="G138" s="14" t="str">
        <x:v>profile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IMP-AND-0201</x:v>
      </x:c>
      <x:c r="L138" s="14" t="str">
        <x:v>Android 03 Loyalty, promociones y perfil</x:v>
      </x:c>
      <x:c r="M138" s="14" t="str">
        <x:v>238:132</x:v>
      </x:c>
      <x:c r="N138" s="14" t="str">
        <x:v>Profile</x:v>
      </x:c>
      <x:c r="O138" s="14" t="str">
        <x:v>Implementar perfil final</x:v>
      </x:c>
      <x:c r="P138" s="14" t="str">
        <x:v>Figma layout/edit/states; reuse Account/Profile Domain.</x:v>
      </x:c>
      <x:c r="Q138" s="14" t="str">
        <x:v>No duplicated model; PII safe; save states correct.</x:v>
      </x:c>
      <x:c r="R138" s="14" t="str">
        <x:v>Profile contract ready.</x:v>
      </x:c>
      <x:c r="S138" s="14" t="str">
        <x:v>UI tests.</x:v>
      </x:c>
      <x:c r="T138" s="14" t="str">
        <x:v>unit/ui</x:v>
      </x:c>
      <x:c r="U138" s="14" t="str">
        <x:v>profile</x:v>
      </x:c>
      <x:c r="V138" s="14" t="str">
        <x:v>feature/android-profile</x:v>
      </x:c>
      <x:c r="W138" s="14"/>
      <x:c r="X138" s="14"/>
      <x:c r="Y138" s="14"/>
      <x:c r="Z138" s="14"/>
    </x:row>
    <x:row r="139" ht="84" customHeight="1">
      <x:c r="A139" s="14" t="str">
        <x:v>IMP-AND-0304</x:v>
      </x:c>
      <x:c r="B139" s="14" t="str">
        <x:v>S3 Android Loyalty</x:v>
      </x:c>
      <x:c r="C139" s="14" t="str">
        <x:v>ANDROID</x:v>
      </x:c>
      <x:c r="D139" s="14" t="str">
        <x:v>QA</x:v>
      </x:c>
      <x:c r="E139" s="14" t="str">
        <x:v>ANDROID-1</x:v>
      </x:c>
      <x:c r="F139" s="14" t="str">
        <x:v>WEB-2</x:v>
      </x:c>
      <x:c r="G139" s="14" t="str">
        <x:v>loyalty-profile</x:v>
      </x:c>
      <x:c r="H139" s="14" t="str">
        <x:v>QA</x:v>
      </x:c>
      <x:c r="I139" s="14" t="str">
        <x:v>CRÍTICA</x:v>
      </x:c>
      <x:c r="J139" s="14" t="str">
        <x:v>PENDIENTE</x:v>
      </x:c>
      <x:c r="K139" s="14" t="str">
        <x:v>IMP-AND-0301, IMP-AND-0302, IMP-AND-0303</x:v>
      </x:c>
      <x:c r="L139" s="14" t="str">
        <x:v>Android 03 Loyalty, promociones y perfil</x:v>
      </x:c>
      <x:c r="M139" s="14" t="str">
        <x:v>238:132</x:v>
      </x:c>
      <x:c r="N139" s="14" t="str">
        <x:v>Rewards/Promos/Profile</x:v>
      </x:c>
      <x:c r="O139" s="14" t="str">
        <x:v>QA Loyalty/Profile</x:v>
      </x:c>
      <x:c r="P139" s="14" t="str">
        <x:v>Rewards/promotions/profile/offline/error/empty/navigation.</x:v>
      </x:c>
      <x:c r="Q139" s="14" t="str">
        <x:v>Cross-app semantics PASS; Figma parity; no DTO UI.</x:v>
      </x:c>
      <x:c r="R139" s="14" t="str">
        <x:v>S3 done.</x:v>
      </x:c>
      <x:c r="S139" s="14" t="str">
        <x:v>Android Global DoD.</x:v>
      </x:c>
      <x:c r="T139" s="14" t="str">
        <x:v>build/tests/manual</x:v>
      </x:c>
      <x:c r="U139" s="14" t="str">
        <x:v>Android S3</x:v>
      </x:c>
      <x:c r="V139" s="14" t="str">
        <x:v>test/android-loyalty</x:v>
      </x:c>
      <x:c r="W139" s="14"/>
      <x:c r="X139" s="14"/>
      <x:c r="Y139" s="14"/>
      <x:c r="Z139" s="14"/>
    </x:row>
    <x:row r="140" ht="84" customHeight="1">
      <x:c r="A140" s="14" t="str">
        <x:v>IMP-AND-0401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WEB-2</x:v>
      </x:c>
      <x:c r="G140" s="14" t="str">
        <x:v>ui-states</x:v>
      </x:c>
      <x:c r="H140" s="14" t="str">
        <x:v>SHARED</x:v>
      </x:c>
      <x:c r="I140" s="14" t="str">
        <x:v>CRÍTICA</x:v>
      </x:c>
      <x:c r="J140" s="14" t="str">
        <x:v>PENDIENTE</x:v>
      </x:c>
      <x:c r="K140" s="14" t="str">
        <x:v>IMP-AND-0009</x:v>
      </x:c>
      <x:c r="L140" s="14" t="str">
        <x:v>Android 04 Loading, error y offline</x:v>
      </x:c>
      <x:c r="M140" s="14" t="str">
        <x:v>238:132</x:v>
      </x:c>
      <x:c r="N140" s="14" t="str">
        <x:v>Universal States</x:v>
      </x:c>
      <x:c r="O140" s="14" t="str">
        <x:v>Implementar Loading/Error/Empty/Offline shared</x:v>
      </x:c>
      <x:c r="P140" s="14" t="str">
        <x:v>Reusable state UI; retry callback; accessible; no business logic.</x:v>
      </x:c>
      <x:c r="Q140" s="14" t="str">
        <x:v>Features reutilizan states; offline explicit; retry actionable.</x:v>
      </x:c>
      <x:c r="R140" s="14" t="str">
        <x:v>Figma states reviewed.</x:v>
      </x:c>
      <x:c r="S140" s="14" t="str">
        <x:v>UI tests.</x:v>
      </x:c>
      <x:c r="T140" s="14" t="str">
        <x:v>ui</x:v>
      </x:c>
      <x:c r="U140" s="14" t="str">
        <x:v>shared state UI</x:v>
      </x:c>
      <x:c r="V140" s="14" t="str">
        <x:v>feature/android-universal-states</x:v>
      </x:c>
      <x:c r="W140" s="14"/>
      <x:c r="X140" s="14"/>
      <x:c r="Y140" s="14"/>
      <x:c r="Z140" s="14"/>
    </x:row>
    <x:row r="141" ht="84" customHeight="1">
      <x:c r="A141" s="14" t="str">
        <x:v>IMP-AND-0402</x:v>
      </x:c>
      <x:c r="B141" s="14" t="str">
        <x:v>S4 Android Release</x:v>
      </x:c>
      <x:c r="C141" s="14" t="str">
        <x:v>ANDROID</x:v>
      </x:c>
      <x:c r="D141" s="14" t="str">
        <x:v>Estados</x:v>
      </x:c>
      <x:c r="E141" s="14" t="str">
        <x:v>ANDROID-1</x:v>
      </x:c>
      <x:c r="F141" s="14" t="str">
        <x:v>WEB-3</x:v>
      </x:c>
      <x:c r="G141" s="14" t="str">
        <x:v>offline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IMP-AND-0401, IMP-AND-0106, IMP-AND-0204, IMP-AND-0304</x:v>
      </x:c>
      <x:c r="L141" s="14" t="str">
        <x:v>Android 04 Loading, error y offline</x:v>
      </x:c>
      <x:c r="M141" s="14" t="str">
        <x:v>238:132</x:v>
      </x:c>
      <x:c r="N141" s="14" t="str">
        <x:v>All</x:v>
      </x:c>
      <x:c r="O141" s="14" t="str">
        <x:v>Integrar states universales</x:v>
      </x:c>
      <x:c r="P141" s="14" t="str">
        <x:v>Reemplazar estados ad-hoc; retry; stale indication donde aplica.</x:v>
      </x:c>
      <x:c r="Q141" s="14" t="str">
        <x:v>0 remote screen sin Loading/Error; Offline según Figma; no false success.</x:v>
      </x:c>
      <x:c r="R141" s="14" t="str">
        <x:v>Feature screens done.</x:v>
      </x:c>
      <x:c r="S141" s="14" t="str">
        <x:v>Regression states.</x:v>
      </x:c>
      <x:c r="T141" s="14" t="str">
        <x:v>ui/manual</x:v>
      </x:c>
      <x:c r="U141" s="14" t="str">
        <x:v>all Android</x:v>
      </x:c>
      <x:c r="V141" s="14" t="str">
        <x:v>feature/android-state-integration</x:v>
      </x:c>
      <x:c r="W141" s="14"/>
      <x:c r="X141" s="14"/>
      <x:c r="Y141" s="14"/>
      <x:c r="Z141" s="14"/>
    </x:row>
    <x:row r="142" ht="84" customHeight="1">
      <x:c r="A142" s="14" t="str">
        <x:v>IMP-AND-0403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WEB-2</x:v>
      </x:c>
      <x:c r="G142" s="14" t="str">
        <x:v>accessibility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IMP-AND-0402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Auditoría accesibilidad Android</x:v>
      </x:c>
      <x:c r="P142" s="14" t="str">
        <x:v>TalkBack/labels/targets/contrast/focus/auth/errors.</x:v>
      </x:c>
      <x:c r="Q142" s="14" t="str">
        <x:v>0 critical/high accessibility defects; primary journeys operable.</x:v>
      </x:c>
      <x:c r="R142" s="14" t="str">
        <x:v>Features done.</x:v>
      </x:c>
      <x:c r="S142" s="14" t="str">
        <x:v>A11y PASS.</x:v>
      </x:c>
      <x:c r="T142" s="14" t="str">
        <x:v>manual/tooling</x:v>
      </x:c>
      <x:c r="U142" s="14" t="str">
        <x:v>whole Android</x:v>
      </x:c>
      <x:c r="V142" s="14" t="str">
        <x:v>test/android-a11y</x:v>
      </x:c>
      <x:c r="W142" s="14"/>
      <x:c r="X142" s="14"/>
      <x:c r="Y142" s="14"/>
      <x:c r="Z142" s="14"/>
    </x:row>
    <x:row r="143">
      <x:c r="A143" t="str">
        <x:v>IMP-AND-0404</x:v>
      </x:c>
      <x:c r="B143" t="str">
        <x:v>S4 Android Release</x:v>
      </x:c>
      <x:c r="C143" t="str">
        <x:v>ANDROID</x:v>
      </x:c>
      <x:c r="D143" t="str">
        <x:v>QA</x:v>
      </x:c>
      <x:c r="E143" t="str">
        <x:v>ANDROID-1</x:v>
      </x:c>
      <x:c r="F143" t="str">
        <x:v>WEB-3</x:v>
      </x:c>
      <x:c r="G143" t="str">
        <x:v>release</x:v>
      </x:c>
      <x:c r="H143" t="str">
        <x:v>QA</x:v>
      </x:c>
      <x:c r="I143" t="str">
        <x:v>CRÍTICA</x:v>
      </x:c>
      <x:c r="J143" t="str">
        <x:v>PENDIENTE</x:v>
      </x:c>
      <x:c r="K143" t="str">
        <x:v>IMP-AND-0403</x:v>
      </x:c>
      <x:c r="L143" t="str">
        <x:v>Android final regression</x:v>
      </x:c>
      <x:c r="M143" t="str">
        <x:v>238:132</x:v>
      </x:c>
      <x:c r="N143" t="str">
        <x:v>All</x:v>
      </x:c>
      <x:c r="O143" t="str">
        <x:v>Regresión final Android</x:v>
      </x:c>
      <x:c r="P143" t="str">
        <x:v>Build/tests/navigation/states/contracts/no DTO UI/no secrets.</x:v>
      </x:c>
      <x:c r="Q143" t="str">
        <x:v>0 critical/high; all checks PASS; release candidate.</x:v>
      </x:c>
      <x:c r="R143" t="str">
        <x:v>All Android tasks done.</x:v>
      </x:c>
      <x:c r="S143" t="str">
        <x:v>Release DoD PASS.</x:v>
      </x:c>
      <x:c r="T143" t="str">
        <x:v>build/tests/manual</x:v>
      </x:c>
      <x:c r="U143" t="str">
        <x:v>whole Android</x:v>
      </x:c>
      <x:c r="V143" t="str">
        <x:v>release/android-rc</x:v>
      </x:c>
      <x:c r="W143"/>
      <x:c r="X143"/>
      <x:c r="Y143"/>
      <x:c r="Z143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db797273d14a1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